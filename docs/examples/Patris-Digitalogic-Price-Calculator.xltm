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92CD15B9-FB14-4F07-86D4-ADCAA19D4C20}" xr6:coauthVersionLast="47" xr6:coauthVersionMax="47" xr10:uidLastSave="{00000000-0000-0000-0000-000000000000}"/>
  <bookViews>
    <workbookView xWindow="37560" yWindow="1080" windowWidth="17235" windowHeight="14130" xr2:uid="{D1B2D9F1-72E7-4B17-AF5C-5451AC100507}"/>
  </bookViews>
  <sheets>
    <sheet name="Dashboard" sheetId="4" r:id="rId1"/>
    <sheet name="Products" sheetId="3" r:id="rId2"/>
    <sheet name="Settings" sheetId="2" r:id="rId3"/>
    <sheet name="Instructions" sheetId="1" r:id="rId4"/>
  </sheets>
  <functionGroups builtInGroupCount="19"/>
  <definedNames>
    <definedName name="_xlnm.Print_Area" localSheetId="0">Dashboard!$A$1:$M$30</definedName>
    <definedName name="_xlnm.Print_Area" localSheetId="3">Instructions!$A$1:$H$16</definedName>
    <definedName name="_xlnm.Print_Area" localSheetId="1">Products!$A$1:$Y$2</definedName>
    <definedName name="_xlnm.Print_Area" localSheetId="2">Settings!$A$1:$F$25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4" l="1"/>
  <c r="G6" i="4"/>
  <c r="D6" i="4"/>
  <c r="A6" i="4"/>
</calcChain>
</file>

<file path=xl/sharedStrings.xml><?xml version="1.0" encoding="utf-8"?>
<sst xmlns="http://schemas.openxmlformats.org/spreadsheetml/2006/main" count="79" uniqueCount="79">
  <si>
    <t>Code</t>
  </si>
  <si>
    <t>Name</t>
  </si>
  <si>
    <t>Part Number</t>
  </si>
  <si>
    <t>Category</t>
  </si>
  <si>
    <t>Warehouse 1</t>
  </si>
  <si>
    <t>Warehouse 2</t>
  </si>
  <si>
    <t>Total Stock</t>
  </si>
  <si>
    <t>Foreign Price (CNY)</t>
  </si>
  <si>
    <t>Weight (g)</t>
  </si>
  <si>
    <t>Shipping Method</t>
  </si>
  <si>
    <t>Shipping Price/kg</t>
  </si>
  <si>
    <t>Shipping Currency</t>
  </si>
  <si>
    <t>Profit Margin (%)</t>
  </si>
  <si>
    <t>IRT per CNY</t>
  </si>
  <si>
    <t>Final Price (IRT)</t>
  </si>
  <si>
    <t>WooCommerce</t>
  </si>
  <si>
    <t>Woo Price (IRT)</t>
  </si>
  <si>
    <t>Woo Stock</t>
  </si>
  <si>
    <t>Sync Status</t>
  </si>
  <si>
    <t>Manual Price Override (IRT)</t>
  </si>
  <si>
    <t>Review Status</t>
  </si>
  <si>
    <t>Notes</t>
  </si>
  <si>
    <t>Effective Price (IRT)</t>
  </si>
  <si>
    <t>Source</t>
  </si>
  <si>
    <t>Search Index</t>
  </si>
  <si>
    <t>Yellow cells are manual. They survive refresh only when the exact, case-sensitive Code still exists.</t>
  </si>
  <si>
    <t>DIGITALOGIC  |  PRODUCT PRICING DASHBOARD</t>
  </si>
  <si>
    <t>Patris Export + Digitalogic WordPress  |  فهرست زنده محصولات و قیمت‌گذاری</t>
  </si>
  <si>
    <t>TOTAL PRODUCTS</t>
  </si>
  <si>
    <t>TOTAL STOCK</t>
  </si>
  <si>
    <t>AVG. EFFECTIVE PRICE</t>
  </si>
  <si>
    <t>LAST REFRESH</t>
  </si>
  <si>
    <t>SEARCH AND ACTIONS</t>
  </si>
  <si>
    <t>Search:</t>
  </si>
  <si>
    <t>HOW TO USE</t>
  </si>
  <si>
    <t>1. This is an empty macro template.
2. Opening it creates a new workbook and syncs live rows.
3. Sync now joins exact Patris Code only.
4. WooID text links to the matching product page.
5. Missing inputs stay blank with warnings—never #N/A.</t>
  </si>
  <si>
    <t>No credentials or catalog rows are stored in the template. Woo read-only credentials come from Windows environment variables.</t>
  </si>
  <si>
    <t>CONNECTION AND CALCULATION SETTINGS</t>
  </si>
  <si>
    <t>Patris product-sync endpoint</t>
  </si>
  <si>
    <t>http://127.0.0.1:18080/api/product-sync</t>
  </si>
  <si>
    <t>Digitalogic catalog endpoint</t>
  </si>
  <si>
    <t>https://digitalogic.ir/wp-json/digitalogic/v1/google-sheets/catalog</t>
  </si>
  <si>
    <t>Price output mode</t>
  </si>
  <si>
    <t>formula</t>
  </si>
  <si>
    <t>Last successful refresh</t>
  </si>
  <si>
    <t>HTTP timeout (seconds)</t>
  </si>
  <si>
    <t>Workbook language</t>
  </si>
  <si>
    <t>en</t>
  </si>
  <si>
    <t>Digitalogic status</t>
  </si>
  <si>
    <t>Not refreshed yet.</t>
  </si>
  <si>
    <t>Read key environment name</t>
  </si>
  <si>
    <t>DIGITALOGIC_CONSUMER_KEY</t>
  </si>
  <si>
    <t>Read secret environment name</t>
  </si>
  <si>
    <t>DIGITALOGIC_CONSUMER_SECRET</t>
  </si>
  <si>
    <t>Sync automatically on open</t>
  </si>
  <si>
    <t>yes</t>
  </si>
  <si>
    <t>LIVE CONFIGURATION — refreshed from the current product contract</t>
  </si>
  <si>
    <t>بهای یوآن (IRT/CNY)</t>
  </si>
  <si>
    <t>نرخ حمل CNY</t>
  </si>
  <si>
    <t>درصد سود</t>
  </si>
  <si>
    <t>Security note
The template contains no product rows and no credential values. It reads the two credential environment-variable names above, then sends Basic authentication only to https://digitalogic.ir/. Keep the WooCommerce key Read-only.</t>
  </si>
  <si>
    <t>PATRIS / DIGITALOGIC EXCEL DASHBOARD — QUICK START</t>
  </si>
  <si>
    <t>Open the template</t>
  </si>
  <si>
    <t>Double-click the .xltm. Excel creates a new macro-enabled workbook instance; the canonical template remains empty.</t>
  </si>
  <si>
    <t>Enable reviewed macros</t>
  </si>
  <si>
    <t>Trust only this reviewed file. Refresh-on-open calls the local Patris service and the protected Digitalogic catalog.</t>
  </si>
  <si>
    <t>Keep credentials outside</t>
  </si>
  <si>
    <t>Set the Read-only WooCommerce key and secret in the two Windows environment variables named on Settings.</t>
  </si>
  <si>
    <t>Sync live data</t>
  </si>
  <si>
    <t>Use Sync now. Patris and WooCommerce rows join only on exact, case-sensitive Patris Code—never SKU or name.</t>
  </si>
  <si>
    <t>Review warnings</t>
  </si>
  <si>
    <t>Missing or invalid source inputs stay blank and appear in Sync Status; formulas never emit #N/A.</t>
  </si>
  <si>
    <t>Open Woo pages</t>
  </si>
  <si>
    <t>When a matching WooCommerce page exists, the WooCommerce cell displays WooID &lt;id&gt; as a clickable link.</t>
  </si>
  <si>
    <t>Save a working copy</t>
  </si>
  <si>
    <t>Use Save As for the refreshed workbook. Do not overwrite the canonical .xltm template.</t>
  </si>
  <si>
    <t>Manual fields</t>
  </si>
  <si>
    <t>Yellow override/status/notes cells survive a refresh only while the exact Code remains present.</t>
  </si>
  <si>
    <t>راهنما: ابتدا کد ماکروها و نشانی سرویس‌ها را بررسی کنید؛ سپس فایل را فقط از مسیر مورد اعتماد اجرا کنید.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</si>
</sst>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IRT&quot;"/>
    <numFmt numFmtId="165" formatCode="yyyy\-mm\-dd\ hh:mm"/>
  </numFmts>
  <fonts count="17" x14ac:knownFonts="1">
    <font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sz val="10"/>
      <color rgb="FF64748B"/>
      <name val="Aptos"/>
      <family val="2"/>
    </font>
    <font>
      <b/>
      <sz val="20"/>
      <color rgb="FFFFFFFF"/>
      <name val="Aptos"/>
      <family val="2"/>
    </font>
    <font>
      <sz val="10"/>
      <color rgb="FF475569"/>
      <name val="Aptos"/>
      <family val="2"/>
    </font>
    <font>
      <b/>
      <sz val="9"/>
      <color rgb="FF475569"/>
      <name val="Aptos"/>
      <family val="2"/>
    </font>
    <font>
      <b/>
      <sz val="16"/>
      <color rgb="FF0F172A"/>
      <name val="Aptos"/>
      <family val="2"/>
    </font>
    <font>
      <b/>
      <sz val="10"/>
      <color rgb="FF334155"/>
      <name val="Aptos"/>
      <family val="2"/>
    </font>
    <font>
      <b/>
      <sz val="11"/>
      <color rgb="FFFFFFFF"/>
      <name val="Aptos"/>
      <family val="2"/>
    </font>
    <font>
      <sz val="10"/>
      <color rgb="FF134E4A"/>
      <name val="Aptos"/>
      <family val="2"/>
    </font>
    <font>
      <sz val="10"/>
      <color rgb="FF9A3412"/>
      <name val="Aptos"/>
      <family val="2"/>
    </font>
    <font>
      <b/>
      <sz val="16"/>
      <color rgb="FFFFFFFF"/>
      <name val="Aptos"/>
      <family val="2"/>
    </font>
    <font>
      <b/>
      <sz val="10"/>
      <color theme="1"/>
      <name val="Aptos"/>
      <family val="2"/>
    </font>
    <font>
      <sz val="10"/>
      <color rgb="FF991B1B"/>
      <name val="Aptos"/>
      <family val="2"/>
    </font>
    <font>
      <b/>
      <sz val="17"/>
      <color rgb="FFFFFFFF"/>
      <name val="Aptos"/>
      <family val="2"/>
    </font>
    <font>
      <b/>
      <sz val="10"/>
      <color rgb="FFFFFFFF"/>
      <name val="Aptos"/>
      <family val="2"/>
    </font>
    <font>
      <sz val="10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1F5F9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F0FDFA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2F2"/>
        <bgColor indexed="64"/>
      </patternFill>
    </fill>
  </fills>
  <borders count="5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94A3B8"/>
      </left>
      <right style="thin">
        <color rgb="FF94A3B8"/>
      </right>
      <top style="thin">
        <color rgb="FF94A3B8"/>
      </top>
      <bottom style="thin">
        <color rgb="FF94A3B8"/>
      </bottom>
      <diagonal/>
    </border>
    <border>
      <left/>
      <right/>
      <top style="thin">
        <color rgb="FF94A3B8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wrapText="1"/>
    </xf>
    <xf numFmtId="0" fontId="1" fillId="0" borderId="0" xfId="0" applyFont="1"/>
    <xf numFmtId="0" fontId="3" fillId="3" borderId="0" xfId="0" applyFont="1" applyFill="1" applyAlignment="1">
      <alignment horizontal="left" vertical="center"/>
    </xf>
    <xf numFmtId="0" fontId="4" fillId="0" borderId="0" xfId="0" applyFont="1"/>
    <xf numFmtId="0" fontId="5" fillId="4" borderId="0" xfId="0" applyFont="1" applyFill="1" applyAlignment="1">
      <alignment horizontal="center"/>
    </xf>
    <xf numFmtId="0" fontId="1" fillId="5" borderId="1" xfId="0" applyFont="1" applyFill="1" applyBorder="1"/>
    <xf numFmtId="3" fontId="6" fillId="5" borderId="1" xfId="0" applyNumberFormat="1" applyFont="1" applyFill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1" fillId="6" borderId="2" xfId="0" applyFont="1" applyFill="1" applyBorder="1"/>
    <xf numFmtId="0" fontId="1" fillId="0" borderId="3" xfId="0" applyFont="1" applyBorder="1"/>
    <xf numFmtId="0" fontId="2" fillId="0" borderId="3" xfId="0" applyFont="1" applyBorder="1"/>
    <xf numFmtId="0" fontId="8" fillId="7" borderId="0" xfId="0" applyFont="1" applyFill="1" applyAlignment="1">
      <alignment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vertical="top" wrapText="1"/>
    </xf>
    <xf numFmtId="0" fontId="9" fillId="8" borderId="0" xfId="0" applyFont="1" applyFill="1" applyAlignment="1">
      <alignment vertical="top" wrapText="1"/>
    </xf>
    <xf numFmtId="0" fontId="10" fillId="9" borderId="0" xfId="0" applyFont="1" applyFill="1" applyAlignment="1">
      <alignment wrapText="1"/>
    </xf>
    <xf numFmtId="0" fontId="11" fillId="3" borderId="0" xfId="0" applyFont="1" applyFill="1" applyAlignment="1">
      <alignment vertical="center"/>
    </xf>
    <xf numFmtId="0" fontId="12" fillId="0" borderId="1" xfId="0" applyFont="1" applyFill="1" applyBorder="1"/>
    <xf numFmtId="0" fontId="1" fillId="5" borderId="1" xfId="0" applyFont="1" applyFill="1" applyBorder="1"/>
    <xf numFmtId="165" fontId="1" fillId="5" borderId="1" xfId="0" applyNumberFormat="1" applyFont="1" applyFill="1" applyBorder="1"/>
    <xf numFmtId="0" fontId="12" fillId="0" borderId="1" xfId="0" applyFont="1" applyFill="1" applyBorder="1" applyAlignment="1">
      <alignment readingOrder="2"/>
    </xf>
    <xf numFmtId="0" fontId="1" fillId="8" borderId="1" xfId="0" applyFont="1" applyFill="1" applyBorder="1" applyAlignment="1">
      <alignment readingOrder="2"/>
    </xf>
    <xf numFmtId="0" fontId="13" fillId="10" borderId="0" xfId="0" applyFont="1" applyFill="1" applyAlignment="1">
      <alignment vertical="top" wrapText="1"/>
    </xf>
    <xf numFmtId="0" fontId="14" fillId="3" borderId="0" xfId="0" applyFont="1" applyFill="1" applyAlignment="1">
      <alignment vertical="center"/>
    </xf>
    <xf numFmtId="0" fontId="15" fillId="7" borderId="4" xfId="0" applyFont="1" applyFill="1" applyBorder="1"/>
    <xf numFmtId="0" fontId="12" fillId="0" borderId="4" xfId="0" applyFont="1" applyFill="1" applyBorder="1"/>
    <xf numFmtId="0" fontId="1" fillId="0" borderId="4" xfId="0" applyFont="1" applyFill="1" applyBorder="1" applyAlignment="1">
      <alignment wrapText="1"/>
    </xf>
    <xf numFmtId="0" fontId="1" fillId="0" borderId="0" xfId="0" applyFont="1" applyAlignment="1">
      <alignment horizontal="right" wrapText="1" readingOrder="2"/>
    </xf>
    <xf numFmtId="0" fontId="16" fillId="8" borderId="0" xfId="0" applyFont="1" applyFill="1" applyAlignment="1">
      <alignment horizontal="right" wrapText="1" readingOrder="2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Effective price snapshot (first 10 products)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Products!$A$1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94-43A7-93FD-0FD7381B7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457568"/>
        <c:axId val="1551458528"/>
      </c:barChart>
      <c:catAx>
        <c:axId val="1551457568"/>
        <c:scaling>
          <c:orientation val="minMax"/>
        </c:scaling>
        <c:delete val="0"/>
        <c:axPos val="l"/>
        <c:majorTickMark val="out"/>
        <c:minorTickMark val="none"/>
        <c:tickLblPos val="nextTo"/>
        <c:crossAx val="1551458528"/>
        <c:crosses val="autoZero"/>
        <c:auto val="1"/>
        <c:lblAlgn val="ctr"/>
        <c:lblOffset val="100"/>
        <c:noMultiLvlLbl val="0"/>
      </c:catAx>
      <c:valAx>
        <c:axId val="1551458528"/>
        <c:scaling>
          <c:orientation val="minMax"/>
        </c:scaling>
        <c:delete val="0"/>
        <c:axPos val="b"/>
        <c:majorGridlines/>
        <c:numFmt formatCode="#,##0" sourceLinked="0"/>
        <c:majorTickMark val="out"/>
        <c:minorTickMark val="none"/>
        <c:tickLblPos val="nextTo"/>
        <c:crossAx val="155145756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CBD5E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2" name="LogoPlaceholder">
          <a:extLst>
            <a:ext uri="{FF2B5EF4-FFF2-40B4-BE49-F238E27FC236}">
              <a16:creationId xmlns:a16="http://schemas.microsoft.com/office/drawing/2014/main" id="{0A47AD3A-3FC4-14D1-F8AE-BFD83EAF4FB2}"/>
            </a:ext>
          </a:extLst>
        </xdr:cNvPr>
        <xdr:cNvSpPr/>
      </xdr:nvSpPr>
      <xdr:spPr>
        <a:xfrm>
          <a:off x="7629525" y="0"/>
          <a:ext cx="3390900" cy="828675"/>
        </a:xfrm>
        <a:prstGeom prst="roundRect">
          <a:avLst/>
        </a:prstGeom>
        <a:solidFill>
          <a:srgbClr val="F8FAFC"/>
        </a:solidFill>
        <a:ln>
          <a:solidFill>
            <a:srgbClr val="CBD5E1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64748B"/>
              </a:solidFill>
              <a:latin typeface="Aptos" panose="020B0004020202020204" pitchFamily="34" charset="0"/>
            </a:rPr>
            <a:t>YOUR LOGO</a:t>
          </a: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320675</xdr:colOff>
      <xdr:row>10</xdr:row>
      <xdr:rowOff>79375</xdr:rowOff>
    </xdr:to>
    <xdr:sp macro="PatrisDashboard.SearchProduc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57E993-AC6F-4EE6-DC31-DABA610AA73E}"/>
            </a:ext>
          </a:extLst>
        </xdr:cNvPr>
        <xdr:cNvSpPr/>
      </xdr:nvSpPr>
      <xdr:spPr>
        <a:xfrm>
          <a:off x="5086350" y="2486025"/>
          <a:ext cx="1168400" cy="355600"/>
        </a:xfrm>
        <a:prstGeom prst="roundRect">
          <a:avLst/>
        </a:prstGeom>
        <a:solidFill>
          <a:srgbClr val="0F766E"/>
        </a:solidFill>
        <a:ln>
          <a:solidFill>
            <a:srgbClr val="0B5F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Search products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8</xdr:col>
      <xdr:colOff>685800</xdr:colOff>
      <xdr:row>10</xdr:row>
      <xdr:rowOff>79375</xdr:rowOff>
    </xdr:to>
    <xdr:sp macro="PatrisDashboard.ResetSearc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3009D67-3CBF-F3A1-4FB9-0279CF35888C}"/>
            </a:ext>
          </a:extLst>
        </xdr:cNvPr>
        <xdr:cNvSpPr/>
      </xdr:nvSpPr>
      <xdr:spPr>
        <a:xfrm>
          <a:off x="6781800" y="2486025"/>
          <a:ext cx="685800" cy="355600"/>
        </a:xfrm>
        <a:prstGeom prst="roundRect">
          <a:avLst/>
        </a:prstGeom>
        <a:solidFill>
          <a:srgbClr val="0F766E"/>
        </a:solidFill>
        <a:ln>
          <a:solidFill>
            <a:srgbClr val="0B5F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Reset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92075</xdr:colOff>
      <xdr:row>10</xdr:row>
      <xdr:rowOff>79375</xdr:rowOff>
    </xdr:to>
    <xdr:sp macro="PatrisDashboard.Refresh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DB0FADD-72F5-B70D-5B60-4CDAAFA2F52D}"/>
            </a:ext>
          </a:extLst>
        </xdr:cNvPr>
        <xdr:cNvSpPr/>
      </xdr:nvSpPr>
      <xdr:spPr>
        <a:xfrm>
          <a:off x="7629525" y="2486025"/>
          <a:ext cx="939800" cy="355600"/>
        </a:xfrm>
        <a:prstGeom prst="roundRect">
          <a:avLst/>
        </a:prstGeom>
        <a:solidFill>
          <a:srgbClr val="0F766E"/>
        </a:solidFill>
        <a:ln>
          <a:solidFill>
            <a:srgbClr val="0B5F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Sync now</a:t>
          </a: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41275</xdr:colOff>
      <xdr:row>10</xdr:row>
      <xdr:rowOff>79375</xdr:rowOff>
    </xdr:to>
    <xdr:sp macro="PatrisDashboard.ChooseCompanyLogo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8F44046-B8C0-0A0A-A3AA-C3EEECD20BE0}"/>
            </a:ext>
          </a:extLst>
        </xdr:cNvPr>
        <xdr:cNvSpPr/>
      </xdr:nvSpPr>
      <xdr:spPr>
        <a:xfrm>
          <a:off x="9324975" y="2486025"/>
          <a:ext cx="889000" cy="355600"/>
        </a:xfrm>
        <a:prstGeom prst="roundRect">
          <a:avLst/>
        </a:prstGeom>
        <a:solidFill>
          <a:srgbClr val="0F766E"/>
        </a:solidFill>
        <a:ln>
          <a:solidFill>
            <a:srgbClr val="0B5F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Choose logo</a:t>
          </a: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7" name="PriceChart">
          <a:extLst>
            <a:ext uri="{FF2B5EF4-FFF2-40B4-BE49-F238E27FC236}">
              <a16:creationId xmlns:a16="http://schemas.microsoft.com/office/drawing/2014/main" id="{D7B0E43A-4D54-9545-2EDB-C27C12ED49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</xdr:colOff>
      <xdr:row>12</xdr:row>
      <xdr:rowOff>25400</xdr:rowOff>
    </xdr:from>
    <xdr:to>
      <xdr:col>7</xdr:col>
      <xdr:colOff>822325</xdr:colOff>
      <xdr:row>28</xdr:row>
      <xdr:rowOff>250825</xdr:rowOff>
    </xdr:to>
    <xdr:sp macro="" textlink="">
      <xdr:nvSpPr>
        <xdr:cNvPr id="8" name="EmptyChartMessage">
          <a:extLst>
            <a:ext uri="{FF2B5EF4-FFF2-40B4-BE49-F238E27FC236}">
              <a16:creationId xmlns:a16="http://schemas.microsoft.com/office/drawing/2014/main" id="{0B62C76F-2A1E-B722-D19F-12AF87BDC152}"/>
            </a:ext>
          </a:extLst>
        </xdr:cNvPr>
        <xdr:cNvSpPr/>
      </xdr:nvSpPr>
      <xdr:spPr>
        <a:xfrm>
          <a:off x="25400" y="3340100"/>
          <a:ext cx="6731000" cy="4645025"/>
        </a:xfrm>
        <a:prstGeom prst="rect">
          <a:avLst/>
        </a:prstGeom>
        <a:solidFill>
          <a:srgbClr val="F8FAFC"/>
        </a:solidFill>
        <a:ln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475569"/>
              </a:solidFill>
              <a:latin typeface="Aptos" panose="020B0004020202020204" pitchFamily="34" charset="0"/>
            </a:rPr>
            <a:t>No catalog rows are stored in this template.
Use Sync now to load live prices.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3EAD9D-B48C-4FD2-BEAD-84D890AE7168}" name="tblProducts" displayName="tblProducts" ref="A1:Y2" insertRow="1" totalsRowShown="0" headerRowDxfId="0" dataDxfId="1">
  <autoFilter ref="A1:Y2" xr:uid="{DE3EAD9D-B48C-4FD2-BEAD-84D890AE7168}"/>
  <tableColumns count="25">
    <tableColumn id="1" xr3:uid="{0DE04E22-7FC3-4FD8-BB63-E6D70EC110F7}" name="Code" dataDxfId="26"/>
    <tableColumn id="2" xr3:uid="{D0AA4F01-0A34-43EF-A079-DD061F62F6EE}" name="Name" dataDxfId="25"/>
    <tableColumn id="3" xr3:uid="{EA0D2C51-6E5E-4195-B11C-C7921DF9AAD8}" name="Part Number" dataDxfId="24"/>
    <tableColumn id="4" xr3:uid="{3068324F-3273-45E6-9902-390EB4D1A9F2}" name="Category" dataDxfId="23"/>
    <tableColumn id="5" xr3:uid="{4844180C-11FC-490B-9F1E-997279AABD7F}" name="Warehouse 1" dataDxfId="22"/>
    <tableColumn id="6" xr3:uid="{60EE29B8-F5C4-4766-A9C5-4CFD242921AD}" name="Warehouse 2" dataDxfId="21"/>
    <tableColumn id="7" xr3:uid="{823A19A6-ADA8-4479-B3C1-5F7AEF82022A}" name="Total Stock" dataDxfId="20"/>
    <tableColumn id="8" xr3:uid="{F18AF413-59AE-458D-94C7-DE9001FE58FE}" name="Foreign Price (CNY)" dataDxfId="19"/>
    <tableColumn id="9" xr3:uid="{A2AEBA7A-5F67-4638-AA85-9AED68B44953}" name="Weight (g)" dataDxfId="18"/>
    <tableColumn id="10" xr3:uid="{0E9BF8EC-869A-477A-BE60-596EE3CFE403}" name="Shipping Method" dataDxfId="17"/>
    <tableColumn id="11" xr3:uid="{35BF00A0-6B70-42A1-AC3D-57446E415E51}" name="Shipping Price/kg" dataDxfId="16"/>
    <tableColumn id="12" xr3:uid="{85FCC8C3-07BB-4FE6-8113-2DB049D0C868}" name="Shipping Currency" dataDxfId="15"/>
    <tableColumn id="13" xr3:uid="{093D34A5-5DFD-41C3-BE84-8D12D1C15D2C}" name="Profit Margin (%)" dataDxfId="14"/>
    <tableColumn id="14" xr3:uid="{FD682953-249B-42B5-B0FB-5E162DA0D225}" name="IRT per CNY" dataDxfId="13"/>
    <tableColumn id="15" xr3:uid="{2111EFD6-05D6-44BF-903F-A41218A4EBA3}" name="Final Price (IRT)" dataDxfId="12"/>
    <tableColumn id="16" xr3:uid="{86C55067-FA47-48F5-8839-B822694D3ED7}" name="WooCommerce" dataDxfId="11"/>
    <tableColumn id="17" xr3:uid="{2C3127ED-BF91-41B9-AA27-043252757B02}" name="Woo Price (IRT)" dataDxfId="10"/>
    <tableColumn id="18" xr3:uid="{D5B9928E-E366-4321-9A98-2DE07BC4E69A}" name="Woo Stock" dataDxfId="9"/>
    <tableColumn id="19" xr3:uid="{796C1E1C-04C4-4FF8-8A46-C03BBF19ABA0}" name="Sync Status" dataDxfId="8"/>
    <tableColumn id="20" xr3:uid="{B552BC4B-0542-4836-BD51-E3A89B0AE11E}" name="Manual Price Override (IRT)" dataDxfId="7"/>
    <tableColumn id="21" xr3:uid="{E5776117-7E31-4A74-A3E3-E6C83908CF1D}" name="Review Status" dataDxfId="6"/>
    <tableColumn id="22" xr3:uid="{EE950275-6A2F-483E-87FD-12384ED854B7}" name="Notes" dataDxfId="5"/>
    <tableColumn id="23" xr3:uid="{C35D1A7B-78B8-4DC8-93B9-4B6A796ED216}" name="Effective Price (IRT)" dataDxfId="4"/>
    <tableColumn id="24" xr3:uid="{05D55D1F-B6E4-44E3-A8DF-66600E770CB5}" name="Source" dataDxfId="3"/>
    <tableColumn id="25" xr3:uid="{97553D15-9257-4971-A931-79FB5D2BEB23}" name="Search Index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2301E-3A14-48CA-A447-E3AA82D7F025}">
  <sheetPr codeName="Sheet1">
    <pageSetUpPr fitToPage="1"/>
  </sheetPr>
  <dimension ref="A1:M30"/>
  <sheetViews>
    <sheetView showGridLines="0" tabSelected="1" zoomScale="90" zoomScaleNormal="90" workbookViewId="0">
      <selection sqref="A1:I2"/>
    </sheetView>
  </sheetViews>
  <sheetFormatPr defaultRowHeight="13.5" x14ac:dyDescent="0.25"/>
  <cols>
    <col min="1" max="13" width="12.7109375" style="1" customWidth="1"/>
    <col min="14" max="16384" width="9.140625" style="1"/>
  </cols>
  <sheetData>
    <row r="1" spans="1:13" ht="21.95" customHeight="1" x14ac:dyDescent="0.25">
      <c r="A1" s="4" t="s">
        <v>26</v>
      </c>
      <c r="B1" s="4"/>
      <c r="C1" s="4"/>
      <c r="D1" s="4"/>
      <c r="E1" s="4"/>
      <c r="F1" s="4"/>
      <c r="G1" s="4"/>
      <c r="H1" s="4"/>
      <c r="I1" s="4"/>
    </row>
    <row r="2" spans="1:13" ht="21.95" customHeight="1" x14ac:dyDescent="0.25">
      <c r="A2" s="4"/>
      <c r="B2" s="4"/>
      <c r="C2" s="4"/>
      <c r="D2" s="4"/>
      <c r="E2" s="4"/>
      <c r="F2" s="4"/>
      <c r="G2" s="4"/>
      <c r="H2" s="4"/>
      <c r="I2" s="4"/>
    </row>
    <row r="3" spans="1:13" ht="21.95" customHeight="1" x14ac:dyDescent="0.25">
      <c r="A3" s="5" t="s">
        <v>27</v>
      </c>
      <c r="B3" s="3"/>
      <c r="C3" s="3"/>
      <c r="D3" s="3"/>
      <c r="E3" s="3"/>
      <c r="F3" s="3"/>
      <c r="G3" s="3"/>
      <c r="H3" s="3"/>
      <c r="I3" s="3"/>
    </row>
    <row r="4" spans="1:13" ht="21.95" customHeight="1" x14ac:dyDescent="0.25"/>
    <row r="5" spans="1:13" ht="21.95" customHeight="1" x14ac:dyDescent="0.25">
      <c r="A5" s="6" t="s">
        <v>28</v>
      </c>
      <c r="B5" s="6"/>
      <c r="C5" s="6"/>
      <c r="D5" s="6" t="s">
        <v>29</v>
      </c>
      <c r="E5" s="6"/>
      <c r="F5" s="6"/>
      <c r="G5" s="6" t="s">
        <v>30</v>
      </c>
      <c r="H5" s="6"/>
      <c r="I5" s="6"/>
      <c r="J5" s="6" t="s">
        <v>31</v>
      </c>
      <c r="K5" s="6"/>
      <c r="L5" s="6"/>
      <c r="M5" s="6"/>
    </row>
    <row r="6" spans="1:13" ht="21.95" customHeight="1" x14ac:dyDescent="0.25">
      <c r="A6" s="8">
        <f>COUNTA(tblProducts[Code])</f>
        <v>0</v>
      </c>
      <c r="B6" s="8"/>
      <c r="C6" s="8"/>
      <c r="D6" s="8">
        <f>SUM(tblProducts[Total Stock])</f>
        <v>0</v>
      </c>
      <c r="E6" s="8"/>
      <c r="F6" s="8"/>
      <c r="G6" s="9" t="str">
        <f>IF(COUNT(tblProducts[Effective Price (IRT)])=0,"",AVERAGE(tblProducts[Effective Price (IRT)]))</f>
        <v/>
      </c>
      <c r="H6" s="9"/>
      <c r="I6" s="9"/>
      <c r="J6" s="10" t="str">
        <f>IF(Settings!B5="","",Settings!B5)</f>
        <v/>
      </c>
      <c r="K6" s="10"/>
      <c r="L6" s="10"/>
      <c r="M6" s="10"/>
    </row>
    <row r="7" spans="1:13" ht="21.95" customHeight="1" x14ac:dyDescent="0.25">
      <c r="A7" s="8"/>
      <c r="B7" s="8"/>
      <c r="C7" s="8"/>
      <c r="D7" s="8"/>
      <c r="E7" s="8"/>
      <c r="F7" s="8"/>
      <c r="G7" s="9"/>
      <c r="H7" s="9"/>
      <c r="I7" s="9"/>
      <c r="J7" s="10"/>
      <c r="K7" s="10"/>
      <c r="L7" s="10"/>
      <c r="M7" s="10"/>
    </row>
    <row r="8" spans="1:13" ht="21.95" customHeight="1" x14ac:dyDescent="0.25"/>
    <row r="9" spans="1:13" ht="21.95" customHeight="1" x14ac:dyDescent="0.25">
      <c r="A9" s="11" t="s">
        <v>32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</row>
    <row r="10" spans="1:13" ht="21.95" customHeight="1" x14ac:dyDescent="0.25">
      <c r="A10" s="1" t="s">
        <v>33</v>
      </c>
      <c r="B10" s="12"/>
      <c r="C10" s="12"/>
      <c r="D10" s="12"/>
      <c r="E10" s="12"/>
      <c r="F10" s="12"/>
    </row>
    <row r="11" spans="1:13" ht="21.95" customHeight="1" x14ac:dyDescent="0.25">
      <c r="B11" s="14"/>
      <c r="C11" s="13"/>
      <c r="D11" s="13"/>
      <c r="E11" s="13"/>
      <c r="F11" s="13"/>
    </row>
    <row r="12" spans="1:13" ht="21.95" customHeight="1" x14ac:dyDescent="0.25"/>
    <row r="13" spans="1:13" ht="21.95" customHeight="1" x14ac:dyDescent="0.25">
      <c r="I13" s="15" t="s">
        <v>34</v>
      </c>
      <c r="J13" s="15"/>
      <c r="K13" s="15"/>
      <c r="L13" s="15"/>
      <c r="M13" s="15"/>
    </row>
    <row r="14" spans="1:13" ht="21.95" customHeight="1" x14ac:dyDescent="0.25">
      <c r="I14" s="18" t="s">
        <v>35</v>
      </c>
      <c r="J14" s="17"/>
      <c r="K14" s="17"/>
      <c r="L14" s="17"/>
      <c r="M14" s="17"/>
    </row>
    <row r="15" spans="1:13" ht="21.95" customHeight="1" x14ac:dyDescent="0.25">
      <c r="I15" s="17"/>
      <c r="J15" s="17"/>
      <c r="K15" s="17"/>
      <c r="L15" s="17"/>
      <c r="M15" s="17"/>
    </row>
    <row r="16" spans="1:13" ht="21.95" customHeight="1" x14ac:dyDescent="0.25">
      <c r="I16" s="17"/>
      <c r="J16" s="17"/>
      <c r="K16" s="17"/>
      <c r="L16" s="17"/>
      <c r="M16" s="17"/>
    </row>
    <row r="17" spans="9:13" ht="21.95" customHeight="1" x14ac:dyDescent="0.25">
      <c r="I17" s="17"/>
      <c r="J17" s="17"/>
      <c r="K17" s="17"/>
      <c r="L17" s="17"/>
      <c r="M17" s="17"/>
    </row>
    <row r="18" spans="9:13" ht="21.95" customHeight="1" x14ac:dyDescent="0.25">
      <c r="I18" s="17"/>
      <c r="J18" s="17"/>
      <c r="K18" s="17"/>
      <c r="L18" s="17"/>
      <c r="M18" s="17"/>
    </row>
    <row r="19" spans="9:13" ht="21.95" customHeight="1" x14ac:dyDescent="0.25">
      <c r="I19" s="17"/>
      <c r="J19" s="17"/>
      <c r="K19" s="17"/>
      <c r="L19" s="17"/>
      <c r="M19" s="17"/>
    </row>
    <row r="20" spans="9:13" ht="21.95" customHeight="1" x14ac:dyDescent="0.25">
      <c r="I20" s="17"/>
      <c r="J20" s="17"/>
      <c r="K20" s="17"/>
      <c r="L20" s="17"/>
      <c r="M20" s="17"/>
    </row>
    <row r="21" spans="9:13" ht="21.95" customHeight="1" x14ac:dyDescent="0.25">
      <c r="I21" s="17"/>
      <c r="J21" s="17"/>
      <c r="K21" s="17"/>
      <c r="L21" s="17"/>
      <c r="M21" s="17"/>
    </row>
    <row r="22" spans="9:13" ht="21.95" customHeight="1" x14ac:dyDescent="0.25">
      <c r="I22" s="17"/>
      <c r="J22" s="17"/>
      <c r="K22" s="17"/>
      <c r="L22" s="17"/>
      <c r="M22" s="17"/>
    </row>
    <row r="23" spans="9:13" ht="21.95" customHeight="1" x14ac:dyDescent="0.25">
      <c r="I23" s="17"/>
      <c r="J23" s="17"/>
      <c r="K23" s="17"/>
      <c r="L23" s="17"/>
      <c r="M23" s="17"/>
    </row>
    <row r="24" spans="9:13" ht="21.95" customHeight="1" x14ac:dyDescent="0.25">
      <c r="I24" s="17"/>
      <c r="J24" s="17"/>
      <c r="K24" s="17"/>
      <c r="L24" s="17"/>
      <c r="M24" s="17"/>
    </row>
    <row r="25" spans="9:13" ht="21.95" customHeight="1" x14ac:dyDescent="0.25">
      <c r="I25" s="17"/>
      <c r="J25" s="17"/>
      <c r="K25" s="17"/>
      <c r="L25" s="17"/>
      <c r="M25" s="17"/>
    </row>
    <row r="26" spans="9:13" ht="21.95" customHeight="1" x14ac:dyDescent="0.25"/>
    <row r="27" spans="9:13" ht="21.95" customHeight="1" x14ac:dyDescent="0.25">
      <c r="I27" s="19" t="s">
        <v>36</v>
      </c>
      <c r="J27" s="16"/>
      <c r="K27" s="16"/>
      <c r="L27" s="16"/>
      <c r="M27" s="16"/>
    </row>
    <row r="28" spans="9:13" ht="21.95" customHeight="1" x14ac:dyDescent="0.25">
      <c r="I28" s="16"/>
      <c r="J28" s="16"/>
      <c r="K28" s="16"/>
      <c r="L28" s="16"/>
      <c r="M28" s="16"/>
    </row>
    <row r="29" spans="9:13" ht="21.95" customHeight="1" x14ac:dyDescent="0.25">
      <c r="I29" s="16"/>
      <c r="J29" s="16"/>
      <c r="K29" s="16"/>
      <c r="L29" s="16"/>
      <c r="M29" s="16"/>
    </row>
    <row r="30" spans="9:13" ht="21.95" customHeight="1" x14ac:dyDescent="0.25"/>
  </sheetData>
  <mergeCells count="16">
    <mergeCell ref="I14:M25"/>
    <mergeCell ref="I27:M29"/>
    <mergeCell ref="J5:M5"/>
    <mergeCell ref="J6:M7"/>
    <mergeCell ref="A9:M9"/>
    <mergeCell ref="B10:F10"/>
    <mergeCell ref="B11:F11"/>
    <mergeCell ref="I13:M13"/>
    <mergeCell ref="A1:I2"/>
    <mergeCell ref="A3:I3"/>
    <mergeCell ref="A5:C5"/>
    <mergeCell ref="A6:C7"/>
    <mergeCell ref="D5:F5"/>
    <mergeCell ref="D6:F7"/>
    <mergeCell ref="G5:I5"/>
    <mergeCell ref="G6:I7"/>
  </mergeCells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59CFE-F061-426E-AD04-3B1B072667A4}">
  <sheetPr codeName="Sheet2">
    <pageSetUpPr fitToPage="1"/>
  </sheetPr>
  <dimension ref="A1:AA1"/>
  <sheetViews>
    <sheetView showGridLines="0" workbookViewId="0">
      <pane ySplit="1" topLeftCell="A2" activePane="bottomLeft" state="frozenSplit"/>
      <selection pane="bottomLeft"/>
    </sheetView>
  </sheetViews>
  <sheetFormatPr defaultRowHeight="13.5" x14ac:dyDescent="0.25"/>
  <cols>
    <col min="1" max="1" width="15.7109375" style="1" customWidth="1"/>
    <col min="2" max="2" width="31.7109375" style="1" customWidth="1"/>
    <col min="3" max="3" width="19.7109375" style="1" customWidth="1"/>
    <col min="4" max="4" width="23.7109375" style="1" customWidth="1"/>
    <col min="5" max="7" width="13.7109375" style="1" customWidth="1"/>
    <col min="8" max="8" width="20.7109375" style="1" customWidth="1"/>
    <col min="9" max="9" width="13.7109375" style="1" customWidth="1"/>
    <col min="10" max="11" width="18.7109375" style="1" customWidth="1"/>
    <col min="12" max="12" width="16.7109375" style="1" customWidth="1"/>
    <col min="13" max="13" width="18.7109375" style="1" customWidth="1"/>
    <col min="14" max="14" width="15.7109375" style="1" customWidth="1"/>
    <col min="15" max="15" width="20.7109375" style="1" customWidth="1"/>
    <col min="16" max="16" width="16.7109375" style="1" customWidth="1"/>
    <col min="17" max="17" width="18.7109375" style="1" customWidth="1"/>
    <col min="18" max="18" width="14.7109375" style="1" customWidth="1"/>
    <col min="19" max="19" width="31.7109375" style="1" customWidth="1"/>
    <col min="20" max="20" width="24.7109375" style="1" customWidth="1"/>
    <col min="21" max="21" width="16.7109375" style="1" customWidth="1"/>
    <col min="22" max="22" width="28.7109375" style="1" customWidth="1"/>
    <col min="23" max="23" width="21.7109375" style="1" customWidth="1"/>
    <col min="24" max="24" width="19.7109375" style="1" customWidth="1"/>
    <col min="25" max="25" width="18.7109375" style="1" hidden="1" customWidth="1"/>
    <col min="26" max="26" width="9.140625" style="1"/>
    <col min="27" max="27" width="30.7109375" style="1" customWidth="1"/>
    <col min="28" max="16384" width="9.140625" style="1"/>
  </cols>
  <sheetData>
    <row r="1" spans="1:27" ht="30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AA1" s="2" t="s">
        <v>25</v>
      </c>
    </row>
  </sheetData>
  <pageMargins left="0.7" right="0.7" top="0.75" bottom="0.75" header="0.3" footer="0.3"/>
  <pageSetup paperSize="9" orientation="landscape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C6A74-5215-4A78-9C46-6628752BBDA3}">
  <sheetPr codeName="Sheet3">
    <pageSetUpPr fitToPage="1"/>
  </sheetPr>
  <dimension ref="A1:F25"/>
  <sheetViews>
    <sheetView showGridLines="0" workbookViewId="0"/>
  </sheetViews>
  <sheetFormatPr defaultRowHeight="13.5" x14ac:dyDescent="0.25"/>
  <cols>
    <col min="1" max="1" width="25.7109375" style="1" customWidth="1"/>
    <col min="2" max="6" width="18.7109375" style="1" customWidth="1"/>
    <col min="7" max="16384" width="9.140625" style="1"/>
  </cols>
  <sheetData>
    <row r="1" spans="1:6" ht="21" x14ac:dyDescent="0.25">
      <c r="A1" s="20" t="s">
        <v>37</v>
      </c>
      <c r="B1" s="20"/>
      <c r="C1" s="20"/>
      <c r="D1" s="20"/>
      <c r="E1" s="20"/>
      <c r="F1" s="20"/>
    </row>
    <row r="2" spans="1:6" x14ac:dyDescent="0.25">
      <c r="A2" s="21" t="s">
        <v>38</v>
      </c>
      <c r="B2" s="7" t="s">
        <v>39</v>
      </c>
      <c r="C2" s="7"/>
      <c r="D2" s="7"/>
      <c r="E2" s="7"/>
      <c r="F2" s="7"/>
    </row>
    <row r="3" spans="1:6" x14ac:dyDescent="0.25">
      <c r="A3" s="21" t="s">
        <v>40</v>
      </c>
      <c r="B3" s="7" t="s">
        <v>41</v>
      </c>
      <c r="C3" s="7"/>
      <c r="D3" s="7"/>
      <c r="E3" s="7"/>
      <c r="F3" s="7"/>
    </row>
    <row r="4" spans="1:6" x14ac:dyDescent="0.25">
      <c r="A4" s="21" t="s">
        <v>42</v>
      </c>
      <c r="B4" s="22" t="s">
        <v>43</v>
      </c>
      <c r="C4" s="22"/>
      <c r="D4" s="22"/>
      <c r="E4" s="22"/>
      <c r="F4" s="22"/>
    </row>
    <row r="5" spans="1:6" x14ac:dyDescent="0.25">
      <c r="A5" s="21" t="s">
        <v>44</v>
      </c>
      <c r="B5" s="23"/>
      <c r="C5" s="22"/>
      <c r="D5" s="22"/>
      <c r="E5" s="22"/>
      <c r="F5" s="22"/>
    </row>
    <row r="6" spans="1:6" x14ac:dyDescent="0.25">
      <c r="A6" s="21" t="s">
        <v>45</v>
      </c>
      <c r="B6" s="22">
        <v>10</v>
      </c>
      <c r="C6" s="22"/>
      <c r="D6" s="22"/>
      <c r="E6" s="22"/>
      <c r="F6" s="22"/>
    </row>
    <row r="7" spans="1:6" x14ac:dyDescent="0.25">
      <c r="A7" s="21" t="s">
        <v>46</v>
      </c>
      <c r="B7" s="22" t="s">
        <v>47</v>
      </c>
      <c r="C7" s="22"/>
      <c r="D7" s="22"/>
      <c r="E7" s="22"/>
      <c r="F7" s="22"/>
    </row>
    <row r="8" spans="1:6" x14ac:dyDescent="0.25">
      <c r="A8" s="21" t="s">
        <v>48</v>
      </c>
      <c r="B8" s="7" t="s">
        <v>49</v>
      </c>
      <c r="C8" s="7"/>
      <c r="D8" s="7"/>
      <c r="E8" s="7"/>
      <c r="F8" s="7"/>
    </row>
    <row r="9" spans="1:6" x14ac:dyDescent="0.25">
      <c r="A9" s="21" t="s">
        <v>50</v>
      </c>
      <c r="B9" s="7" t="s">
        <v>51</v>
      </c>
      <c r="C9" s="7"/>
      <c r="D9" s="7"/>
      <c r="E9" s="7"/>
      <c r="F9" s="7"/>
    </row>
    <row r="10" spans="1:6" x14ac:dyDescent="0.25">
      <c r="A10" s="21" t="s">
        <v>52</v>
      </c>
      <c r="B10" s="7" t="s">
        <v>53</v>
      </c>
      <c r="C10" s="7"/>
      <c r="D10" s="7"/>
      <c r="E10" s="7"/>
      <c r="F10" s="7"/>
    </row>
    <row r="11" spans="1:6" x14ac:dyDescent="0.25">
      <c r="A11" s="21" t="s">
        <v>54</v>
      </c>
      <c r="B11" s="22" t="s">
        <v>55</v>
      </c>
      <c r="C11" s="22"/>
      <c r="D11" s="22"/>
      <c r="E11" s="22"/>
      <c r="F11" s="22"/>
    </row>
    <row r="13" spans="1:6" ht="15" x14ac:dyDescent="0.25">
      <c r="A13" s="15" t="s">
        <v>56</v>
      </c>
      <c r="B13" s="15"/>
      <c r="C13" s="15"/>
      <c r="D13" s="15"/>
      <c r="E13" s="15"/>
      <c r="F13" s="15"/>
    </row>
    <row r="16" spans="1:6" x14ac:dyDescent="0.25">
      <c r="A16" s="24" t="s">
        <v>57</v>
      </c>
      <c r="B16" s="25"/>
      <c r="C16" s="25"/>
      <c r="D16" s="25"/>
      <c r="E16" s="25"/>
      <c r="F16" s="25"/>
    </row>
    <row r="17" spans="1:6" x14ac:dyDescent="0.25">
      <c r="A17" s="24" t="s">
        <v>58</v>
      </c>
      <c r="B17" s="25"/>
      <c r="C17" s="25"/>
      <c r="D17" s="25"/>
      <c r="E17" s="25"/>
      <c r="F17" s="25"/>
    </row>
    <row r="18" spans="1:6" x14ac:dyDescent="0.25">
      <c r="A18" s="24" t="s">
        <v>59</v>
      </c>
      <c r="B18" s="25"/>
      <c r="C18" s="25"/>
      <c r="D18" s="25"/>
      <c r="E18" s="25"/>
      <c r="F18" s="25"/>
    </row>
    <row r="20" spans="1:6" x14ac:dyDescent="0.25">
      <c r="A20" s="26" t="s">
        <v>60</v>
      </c>
      <c r="B20" s="17"/>
      <c r="C20" s="17"/>
      <c r="D20" s="17"/>
      <c r="E20" s="17"/>
      <c r="F20" s="17"/>
    </row>
    <row r="21" spans="1:6" x14ac:dyDescent="0.25">
      <c r="A21" s="17"/>
      <c r="B21" s="17"/>
      <c r="C21" s="17"/>
      <c r="D21" s="17"/>
      <c r="E21" s="17"/>
      <c r="F21" s="17"/>
    </row>
    <row r="22" spans="1:6" x14ac:dyDescent="0.25">
      <c r="A22" s="17"/>
      <c r="B22" s="17"/>
      <c r="C22" s="17"/>
      <c r="D22" s="17"/>
      <c r="E22" s="17"/>
      <c r="F22" s="17"/>
    </row>
    <row r="23" spans="1:6" x14ac:dyDescent="0.25">
      <c r="A23" s="17"/>
      <c r="B23" s="17"/>
      <c r="C23" s="17"/>
      <c r="D23" s="17"/>
      <c r="E23" s="17"/>
      <c r="F23" s="17"/>
    </row>
    <row r="24" spans="1:6" x14ac:dyDescent="0.25">
      <c r="A24" s="17"/>
      <c r="B24" s="17"/>
      <c r="C24" s="17"/>
      <c r="D24" s="17"/>
      <c r="E24" s="17"/>
      <c r="F24" s="17"/>
    </row>
    <row r="25" spans="1:6" x14ac:dyDescent="0.25">
      <c r="A25" s="17"/>
      <c r="B25" s="17"/>
      <c r="C25" s="17"/>
      <c r="D25" s="17"/>
      <c r="E25" s="17"/>
      <c r="F25" s="17"/>
    </row>
  </sheetData>
  <mergeCells count="11">
    <mergeCell ref="A13:F13"/>
    <mergeCell ref="B16:F16"/>
    <mergeCell ref="B17:F17"/>
    <mergeCell ref="B18:F18"/>
    <mergeCell ref="A20:F25"/>
    <mergeCell ref="A1:F1"/>
    <mergeCell ref="B2:F2"/>
    <mergeCell ref="B3:F3"/>
    <mergeCell ref="B8:F8"/>
    <mergeCell ref="B9:F9"/>
    <mergeCell ref="B10:F10"/>
  </mergeCells>
  <dataValidations count="2">
    <dataValidation type="list" allowBlank="1" showInputMessage="1" showErrorMessage="1" sqref="B11" xr:uid="{5395F7B9-70A1-42E0-8AB2-E8CEEF7FD5E8}">
      <formula1>"yes,no"</formula1>
    </dataValidation>
    <dataValidation type="list" allowBlank="1" showInputMessage="1" showErrorMessage="1" sqref="B4" xr:uid="{A7E82B86-1E3C-4078-826F-9D69E629B23A}">
      <formula1>"formula,precalculated"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0A8B1-9728-4466-96FA-99FF4A0893F5}">
  <sheetPr codeName="Sheet4">
    <pageSetUpPr fitToPage="1"/>
  </sheetPr>
  <dimension ref="A1:H16"/>
  <sheetViews>
    <sheetView showGridLines="0" workbookViewId="0"/>
  </sheetViews>
  <sheetFormatPr defaultRowHeight="13.5" x14ac:dyDescent="0.25"/>
  <cols>
    <col min="1" max="1" width="4.7109375" style="1" customWidth="1"/>
    <col min="2" max="2" width="24.7109375" style="1" customWidth="1"/>
    <col min="3" max="8" width="16.7109375" style="1" customWidth="1"/>
    <col min="9" max="16384" width="9.140625" style="1"/>
  </cols>
  <sheetData>
    <row r="1" spans="1:8" x14ac:dyDescent="0.25">
      <c r="A1" s="27" t="s">
        <v>61</v>
      </c>
      <c r="B1" s="27"/>
      <c r="C1" s="27"/>
      <c r="D1" s="27"/>
      <c r="E1" s="27"/>
      <c r="F1" s="27"/>
      <c r="G1" s="27"/>
      <c r="H1" s="27"/>
    </row>
    <row r="2" spans="1:8" x14ac:dyDescent="0.25">
      <c r="A2" s="27"/>
      <c r="B2" s="27"/>
      <c r="C2" s="27"/>
      <c r="D2" s="27"/>
      <c r="E2" s="27"/>
      <c r="F2" s="27"/>
      <c r="G2" s="27"/>
      <c r="H2" s="27"/>
    </row>
    <row r="4" spans="1:8" ht="50.1" customHeight="1" x14ac:dyDescent="0.25">
      <c r="A4" s="28">
        <v>1</v>
      </c>
      <c r="B4" s="29" t="s">
        <v>62</v>
      </c>
      <c r="C4" s="30" t="s">
        <v>63</v>
      </c>
      <c r="D4" s="30"/>
      <c r="E4" s="30"/>
      <c r="F4" s="30"/>
      <c r="G4" s="30"/>
      <c r="H4" s="30"/>
    </row>
    <row r="5" spans="1:8" ht="50.1" customHeight="1" x14ac:dyDescent="0.25">
      <c r="A5" s="28">
        <v>2</v>
      </c>
      <c r="B5" s="29" t="s">
        <v>64</v>
      </c>
      <c r="C5" s="30" t="s">
        <v>65</v>
      </c>
      <c r="D5" s="30"/>
      <c r="E5" s="30"/>
      <c r="F5" s="30"/>
      <c r="G5" s="30"/>
      <c r="H5" s="30"/>
    </row>
    <row r="6" spans="1:8" ht="50.1" customHeight="1" x14ac:dyDescent="0.25">
      <c r="A6" s="28">
        <v>3</v>
      </c>
      <c r="B6" s="29" t="s">
        <v>66</v>
      </c>
      <c r="C6" s="30" t="s">
        <v>67</v>
      </c>
      <c r="D6" s="30"/>
      <c r="E6" s="30"/>
      <c r="F6" s="30"/>
      <c r="G6" s="30"/>
      <c r="H6" s="30"/>
    </row>
    <row r="7" spans="1:8" ht="50.1" customHeight="1" x14ac:dyDescent="0.25">
      <c r="A7" s="28">
        <v>4</v>
      </c>
      <c r="B7" s="29" t="s">
        <v>68</v>
      </c>
      <c r="C7" s="30" t="s">
        <v>69</v>
      </c>
      <c r="D7" s="30"/>
      <c r="E7" s="30"/>
      <c r="F7" s="30"/>
      <c r="G7" s="30"/>
      <c r="H7" s="30"/>
    </row>
    <row r="8" spans="1:8" ht="50.1" customHeight="1" x14ac:dyDescent="0.25">
      <c r="A8" s="28">
        <v>5</v>
      </c>
      <c r="B8" s="29" t="s">
        <v>70</v>
      </c>
      <c r="C8" s="30" t="s">
        <v>71</v>
      </c>
      <c r="D8" s="30"/>
      <c r="E8" s="30"/>
      <c r="F8" s="30"/>
      <c r="G8" s="30"/>
      <c r="H8" s="30"/>
    </row>
    <row r="9" spans="1:8" ht="50.1" customHeight="1" x14ac:dyDescent="0.25">
      <c r="A9" s="28">
        <v>6</v>
      </c>
      <c r="B9" s="29" t="s">
        <v>72</v>
      </c>
      <c r="C9" s="30" t="s">
        <v>73</v>
      </c>
      <c r="D9" s="30"/>
      <c r="E9" s="30"/>
      <c r="F9" s="30"/>
      <c r="G9" s="30"/>
      <c r="H9" s="30"/>
    </row>
    <row r="10" spans="1:8" ht="50.1" customHeight="1" x14ac:dyDescent="0.25">
      <c r="A10" s="28">
        <v>7</v>
      </c>
      <c r="B10" s="29" t="s">
        <v>74</v>
      </c>
      <c r="C10" s="30" t="s">
        <v>75</v>
      </c>
      <c r="D10" s="30"/>
      <c r="E10" s="30"/>
      <c r="F10" s="30"/>
      <c r="G10" s="30"/>
      <c r="H10" s="30"/>
    </row>
    <row r="11" spans="1:8" ht="50.1" customHeight="1" x14ac:dyDescent="0.25">
      <c r="A11" s="28">
        <v>8</v>
      </c>
      <c r="B11" s="29" t="s">
        <v>76</v>
      </c>
      <c r="C11" s="30" t="s">
        <v>77</v>
      </c>
      <c r="D11" s="30"/>
      <c r="E11" s="30"/>
      <c r="F11" s="30"/>
      <c r="G11" s="30"/>
      <c r="H11" s="30"/>
    </row>
    <row r="14" spans="1:8" x14ac:dyDescent="0.25">
      <c r="A14" s="32" t="s">
        <v>78</v>
      </c>
      <c r="B14" s="31"/>
      <c r="C14" s="31"/>
      <c r="D14" s="31"/>
      <c r="E14" s="31"/>
      <c r="F14" s="31"/>
      <c r="G14" s="31"/>
      <c r="H14" s="31"/>
    </row>
    <row r="15" spans="1:8" x14ac:dyDescent="0.25">
      <c r="A15" s="31"/>
      <c r="B15" s="31"/>
      <c r="C15" s="31"/>
      <c r="D15" s="31"/>
      <c r="E15" s="31"/>
      <c r="F15" s="31"/>
      <c r="G15" s="31"/>
      <c r="H15" s="31"/>
    </row>
    <row r="16" spans="1:8" x14ac:dyDescent="0.25">
      <c r="A16" s="31"/>
      <c r="B16" s="31"/>
      <c r="C16" s="31"/>
      <c r="D16" s="31"/>
      <c r="E16" s="31"/>
      <c r="F16" s="31"/>
      <c r="G16" s="31"/>
      <c r="H16" s="31"/>
    </row>
  </sheetData>
  <mergeCells count="10">
    <mergeCell ref="C9:H9"/>
    <mergeCell ref="C10:H10"/>
    <mergeCell ref="C11:H11"/>
    <mergeCell ref="A14:H16"/>
    <mergeCell ref="A1:H2"/>
    <mergeCell ref="C4:H4"/>
    <mergeCell ref="C5:H5"/>
    <mergeCell ref="C6:H6"/>
    <mergeCell ref="C7:H7"/>
    <mergeCell ref="C8:H8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Dashboard</vt:lpstr>
      <vt:lpstr>Products</vt:lpstr>
      <vt:lpstr>Settings</vt:lpstr>
      <vt:lpstr>Instructions</vt:lpstr>
      <vt:lpstr>Dashboard!Print_Area</vt:lpstr>
      <vt:lpstr>Instructions!Print_Area</vt:lpstr>
      <vt:lpstr>Products!Print_Area</vt:lpstr>
      <vt:lpstr>Settings!Print_Area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