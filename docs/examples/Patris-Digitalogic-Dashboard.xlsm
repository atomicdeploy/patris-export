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13_ncr:1_{A0947D1E-5B99-4A84-9CC3-E46775240F3B}" xr6:coauthVersionLast="47" xr6:coauthVersionMax="47" xr10:uidLastSave="{00000000-0000-0000-0000-000000000000}"/>
  <bookViews>
    <workbookView xWindow="28680" yWindow="-120" windowWidth="29040" windowHeight="15720" xr2:uid="{D65F998E-F570-49B7-B2D7-94328E474C45}"/>
  </bookViews>
  <sheets>
    <sheet name="Dashboard" sheetId="5" r:id="rId1"/>
    <sheet name="Products" sheetId="4" r:id="rId2"/>
    <sheet name="Settings" sheetId="3" r:id="rId3"/>
    <sheet name="Instructions" sheetId="2" r:id="rId4"/>
    <sheet name="Digitalogic Raw" sheetId="1" r:id="rId5"/>
  </sheets>
  <functionGroups builtInGroupCount="19"/>
  <definedNames>
    <definedName name="_xlnm.Print_Area" localSheetId="0">Dashboard!$A$1:$M$30</definedName>
    <definedName name="_xlnm.Print_Area" localSheetId="4">'Digitalogic Raw'!$A$1:$A$4</definedName>
    <definedName name="_xlnm.Print_Area" localSheetId="3">Instructions!$A$1:$H$16</definedName>
    <definedName name="_xlnm.Print_Area" localSheetId="1">Products!$A$1:$T$9</definedName>
    <definedName name="_xlnm.Print_Area" localSheetId="2">Settings!$A$1:$F$14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5" l="1"/>
  <c r="D6" i="5"/>
  <c r="A6" i="5"/>
  <c r="U2" i="4"/>
  <c r="U3" i="4"/>
  <c r="U4" i="4"/>
  <c r="U5" i="4"/>
  <c r="U6" i="4"/>
  <c r="U7" i="4"/>
  <c r="U8" i="4"/>
  <c r="U9" i="4"/>
  <c r="O2" i="4"/>
  <c r="S2" i="4" s="1"/>
  <c r="O3" i="4"/>
  <c r="S3" i="4" s="1"/>
  <c r="O4" i="4"/>
  <c r="S4" i="4" s="1"/>
  <c r="O5" i="4"/>
  <c r="S5" i="4" s="1"/>
  <c r="O6" i="4"/>
  <c r="S6" i="4" s="1"/>
  <c r="O7" i="4"/>
  <c r="S7" i="4" s="1"/>
  <c r="O8" i="4"/>
  <c r="S8" i="4" s="1"/>
  <c r="O9" i="4"/>
  <c r="S9" i="4" s="1"/>
  <c r="G6" i="5" l="1"/>
</calcChain>
</file>

<file path=xl/sharedStrings.xml><?xml version="1.0" encoding="utf-8"?>
<sst xmlns="http://schemas.openxmlformats.org/spreadsheetml/2006/main" count="133" uniqueCount="106">
  <si>
    <t>Code</t>
  </si>
  <si>
    <t>Name</t>
  </si>
  <si>
    <t>Part Number</t>
  </si>
  <si>
    <t>Category</t>
  </si>
  <si>
    <t>Warehouse 1</t>
  </si>
  <si>
    <t>Warehouse 2</t>
  </si>
  <si>
    <t>Total Stock</t>
  </si>
  <si>
    <t>Foreign Price (CNY)</t>
  </si>
  <si>
    <t>Weight (g)</t>
  </si>
  <si>
    <t>Shipping Method</t>
  </si>
  <si>
    <t>Shipping Price/kg</t>
  </si>
  <si>
    <t>Shipping Currency</t>
  </si>
  <si>
    <t>Profit Margin (%)</t>
  </si>
  <si>
    <t>IRT per CNY</t>
  </si>
  <si>
    <t>Final Price (IRT)</t>
  </si>
  <si>
    <t>Manual Price Override (IRT)</t>
  </si>
  <si>
    <t>Review Status</t>
  </si>
  <si>
    <t>Notes</t>
  </si>
  <si>
    <t>Effective Price (IRT)</t>
  </si>
  <si>
    <t>Source</t>
  </si>
  <si>
    <t>Search Index</t>
  </si>
  <si>
    <t>DG-1001</t>
  </si>
  <si>
    <t>Raspberry Pi 5 8GB</t>
  </si>
  <si>
    <t>SC1112</t>
  </si>
  <si>
    <t>Single-board computers</t>
  </si>
  <si>
    <t>air_express</t>
  </si>
  <si>
    <t>CNY</t>
  </si>
  <si>
    <t>Approved</t>
  </si>
  <si>
    <t>Featured item</t>
  </si>
  <si>
    <t>Example data</t>
  </si>
  <si>
    <t>DG-1002</t>
  </si>
  <si>
    <t>ESP32-S3 Development Board</t>
  </si>
  <si>
    <t>ESP32-S3-DEVKITC</t>
  </si>
  <si>
    <t>Development boards</t>
  </si>
  <si>
    <t>Needs review</t>
  </si>
  <si>
    <t>DG-1003</t>
  </si>
  <si>
    <t>Arduino Nano Every</t>
  </si>
  <si>
    <t>ABX00028</t>
  </si>
  <si>
    <t>DG-1004</t>
  </si>
  <si>
    <t>LoRa SX1278 Module</t>
  </si>
  <si>
    <t>RA-02</t>
  </si>
  <si>
    <t>Wireless modules</t>
  </si>
  <si>
    <t>DG-1005</t>
  </si>
  <si>
    <t>5V 10A Switching Power Supply</t>
  </si>
  <si>
    <t>LRS-50-5</t>
  </si>
  <si>
    <t>Power modules</t>
  </si>
  <si>
    <t>DG-1006</t>
  </si>
  <si>
    <t>INA219 Current Sensor</t>
  </si>
  <si>
    <t>GY-219</t>
  </si>
  <si>
    <t>Sensor modules</t>
  </si>
  <si>
    <t>DG-1007</t>
  </si>
  <si>
    <t>2.8 inch SPI TFT Display</t>
  </si>
  <si>
    <t>ILI9341-2.8</t>
  </si>
  <si>
    <t>Display modules</t>
  </si>
  <si>
    <t>DG-1008</t>
  </si>
  <si>
    <t>USB Logic Analyzer 24MHz</t>
  </si>
  <si>
    <t>CY7C68013A</t>
  </si>
  <si>
    <t>Test equipment</t>
  </si>
  <si>
    <t>IRR</t>
  </si>
  <si>
    <t>Yellow cells are manual. They survive refresh only when the exact, case-sensitive Code still exists.</t>
  </si>
  <si>
    <t>DIGITALOGIC  |  PRODUCT PRICING DASHBOARD</t>
  </si>
  <si>
    <t>Patris Export + Digitalogic WordPress  |  فهرست زنده محصولات و قیمت‌گذاری</t>
  </si>
  <si>
    <t>TOTAL PRODUCTS</t>
  </si>
  <si>
    <t>TOTAL STOCK</t>
  </si>
  <si>
    <t>AVG. EFFECTIVE PRICE</t>
  </si>
  <si>
    <t>LAST REFRESH</t>
  </si>
  <si>
    <t>SEARCH AND ACTIONS</t>
  </si>
  <si>
    <t>Search:</t>
  </si>
  <si>
    <t>HOW TO USE</t>
  </si>
  <si>
    <t>1. Review endpoints on Settings.
2. Choose formula or precalculated mode.
3. Add optional manual override/status/notes.
4. Refresh; manual inputs follow exact Code.
5. Search, review, and add your logo.</t>
  </si>
  <si>
    <t>No credentials are stored. Enable macros only after reviewing the checked-in VBA source.</t>
  </si>
  <si>
    <t>CONNECTION AND CALCULATION SETTINGS</t>
  </si>
  <si>
    <t>Patris CSV endpoint</t>
  </si>
  <si>
    <t>http://127.0.0.1:18080/api/records.csv</t>
  </si>
  <si>
    <t>Digitalogic WP endpoint</t>
  </si>
  <si>
    <t>Price output mode</t>
  </si>
  <si>
    <t>formula</t>
  </si>
  <si>
    <t>Last successful refresh</t>
  </si>
  <si>
    <t>HTTP timeout (seconds)</t>
  </si>
  <si>
    <t>Workbook language</t>
  </si>
  <si>
    <t>en</t>
  </si>
  <si>
    <t>Digitalogic status</t>
  </si>
  <si>
    <t>Not refreshed yet.</t>
  </si>
  <si>
    <t>Security note
This example performs unauthenticated GET requests only. Do not paste passwords, bearer tokens, cookies, or private keys into the workbook. For protected endpoints, use an approved Office/OS credential mechanism and a trusted HTTPS origin.</t>
  </si>
  <si>
    <t>PATRIS / DIGITALOGIC EXCEL DASHBOARD — QUICK START</t>
  </si>
  <si>
    <t>Review VBA</t>
  </si>
  <si>
    <t>Read docs/examples/vba/PatrisDashboard.bas and ThisWorkbook.cls before enabling macros.</t>
  </si>
  <si>
    <t>Trust the file</t>
  </si>
  <si>
    <t>Move the workbook to an approved Trusted Location, or enable macros for this reviewed file only.</t>
  </si>
  <si>
    <t>Configure endpoints</t>
  </si>
  <si>
    <t>Set the Patris CSV and optional Digitalogic WordPress endpoints on Settings. Do not store credentials.</t>
  </si>
  <si>
    <t>Choose price mode</t>
  </si>
  <si>
    <t>Formula mode calculates live in Excel; precalculated mode uses Patris final_price values.</t>
  </si>
  <si>
    <t>Review and refresh</t>
  </si>
  <si>
    <t>Yellow manual override/status/notes cells survive refresh by exact, case-sensitive Code. Source values always refresh.</t>
  </si>
  <si>
    <t>Search</t>
  </si>
  <si>
    <t>Enter Code, Name, or Part Number on Dashboard, then click Search products.</t>
  </si>
  <si>
    <t>Brand</t>
  </si>
  <si>
    <t>Use Choose logo to place a PNG/JPEG in the reserved dashboard area.</t>
  </si>
  <si>
    <t>Deploy safely</t>
  </si>
  <si>
    <t>Use HTTPS and endpoints controlled by your organization. Review workbook macros after every update.</t>
  </si>
  <si>
    <t>راهنما: ابتدا کد ماکروها و نشانی سرویس‌ها را بررسی کنید؛ سپس فایل را فقط از مسیر مورد اعتماد اجرا کنید.</t>
  </si>
  <si>
    <t>Digitalogic raw response (diagnostic only)</t>
  </si>
  <si>
    <t>Endpoint</t>
  </si>
  <si>
    <t>Last refresh</t>
  </si>
  <si>
    <t>The optional Digitalogic response will appear here (truncated to Excel cell limits).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</si>
</sst>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########"/>
    <numFmt numFmtId="165" formatCode="#,##0\ &quot;IRT&quot;"/>
    <numFmt numFmtId="166" formatCode="yyyy\-mm\-dd\ hh:mm"/>
  </numFmts>
  <fonts count="18" x14ac:knownFonts="1">
    <font>
      <sz val="11"/>
      <color theme="1"/>
      <name val="Aptos Narrow"/>
      <family val="2"/>
      <scheme val="minor"/>
    </font>
    <font>
      <sz val="10"/>
      <color theme="1"/>
      <name val="Aptos"/>
      <family val="2"/>
    </font>
    <font>
      <sz val="10"/>
      <color rgb="FF64748B"/>
      <name val="Aptos"/>
      <family val="2"/>
    </font>
    <font>
      <b/>
      <sz val="20"/>
      <color rgb="FFFFFFFF"/>
      <name val="Aptos"/>
      <family val="2"/>
    </font>
    <font>
      <sz val="10"/>
      <color rgb="FF475569"/>
      <name val="Aptos"/>
      <family val="2"/>
    </font>
    <font>
      <b/>
      <sz val="9"/>
      <color rgb="FF475569"/>
      <name val="Aptos"/>
      <family val="2"/>
    </font>
    <font>
      <b/>
      <sz val="16"/>
      <color rgb="FF0F172A"/>
      <name val="Aptos"/>
      <family val="2"/>
    </font>
    <font>
      <b/>
      <sz val="10"/>
      <color rgb="FF334155"/>
      <name val="Aptos"/>
      <family val="2"/>
    </font>
    <font>
      <b/>
      <sz val="11"/>
      <color rgb="FFFFFFFF"/>
      <name val="Aptos"/>
      <family val="2"/>
    </font>
    <font>
      <sz val="10"/>
      <color rgb="FF134E4A"/>
      <name val="Aptos"/>
      <family val="2"/>
    </font>
    <font>
      <sz val="10"/>
      <color rgb="FF9A3412"/>
      <name val="Aptos"/>
      <family val="2"/>
    </font>
    <font>
      <b/>
      <sz val="16"/>
      <color rgb="FFFFFFFF"/>
      <name val="Aptos"/>
      <family val="2"/>
    </font>
    <font>
      <b/>
      <sz val="10"/>
      <color theme="1"/>
      <name val="Aptos"/>
      <family val="2"/>
    </font>
    <font>
      <sz val="10"/>
      <color rgb="FF991B1B"/>
      <name val="Aptos"/>
      <family val="2"/>
    </font>
    <font>
      <b/>
      <sz val="17"/>
      <color rgb="FFFFFFFF"/>
      <name val="Aptos"/>
      <family val="2"/>
    </font>
    <font>
      <b/>
      <sz val="10"/>
      <color rgb="FFFFFFFF"/>
      <name val="Aptos"/>
      <family val="2"/>
    </font>
    <font>
      <sz val="10"/>
      <color theme="1"/>
      <name val="Segoe UI"/>
      <family val="2"/>
    </font>
    <font>
      <b/>
      <sz val="12"/>
      <color rgb="FFFFFFFF"/>
      <name val="Aptos"/>
      <family val="2"/>
    </font>
  </fonts>
  <fills count="13">
    <fill>
      <patternFill patternType="none"/>
    </fill>
    <fill>
      <patternFill patternType="gray125"/>
    </fill>
    <fill>
      <patternFill patternType="solid">
        <fgColor rgb="FFFFF7D6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F766E"/>
        <bgColor indexed="64"/>
      </patternFill>
    </fill>
    <fill>
      <patternFill patternType="solid">
        <fgColor rgb="FFF0FDFA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334155"/>
        <bgColor indexed="64"/>
      </patternFill>
    </fill>
  </fills>
  <borders count="5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94A3B8"/>
      </left>
      <right style="thin">
        <color rgb="FF94A3B8"/>
      </right>
      <top style="thin">
        <color rgb="FF94A3B8"/>
      </top>
      <bottom style="thin">
        <color rgb="FF94A3B8"/>
      </bottom>
      <diagonal/>
    </border>
    <border>
      <left/>
      <right/>
      <top style="thin">
        <color rgb="FF94A3B8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49" fontId="1" fillId="0" borderId="0" xfId="0" applyNumberFormat="1" applyFont="1"/>
    <xf numFmtId="164" fontId="1" fillId="0" borderId="0" xfId="0" applyNumberFormat="1" applyFont="1"/>
    <xf numFmtId="3" fontId="1" fillId="0" borderId="0" xfId="0" applyNumberFormat="1" applyFont="1"/>
    <xf numFmtId="3" fontId="1" fillId="2" borderId="0" xfId="0" applyNumberFormat="1" applyFont="1" applyFill="1"/>
    <xf numFmtId="0" fontId="1" fillId="2" borderId="0" xfId="0" applyFont="1" applyFill="1"/>
    <xf numFmtId="0" fontId="1" fillId="0" borderId="0" xfId="0" applyFont="1" applyAlignment="1">
      <alignment wrapText="1"/>
    </xf>
    <xf numFmtId="0" fontId="2" fillId="3" borderId="0" xfId="0" applyFont="1" applyFill="1" applyAlignment="1">
      <alignment wrapText="1"/>
    </xf>
    <xf numFmtId="0" fontId="1" fillId="0" borderId="0" xfId="0" applyFont="1"/>
    <xf numFmtId="0" fontId="3" fillId="4" borderId="0" xfId="0" applyFont="1" applyFill="1" applyAlignment="1">
      <alignment horizontal="left" vertical="center"/>
    </xf>
    <xf numFmtId="0" fontId="4" fillId="0" borderId="0" xfId="0" applyFont="1"/>
    <xf numFmtId="0" fontId="5" fillId="5" borderId="0" xfId="0" applyFont="1" applyFill="1" applyAlignment="1">
      <alignment horizontal="center"/>
    </xf>
    <xf numFmtId="0" fontId="1" fillId="6" borderId="1" xfId="0" applyFont="1" applyFill="1" applyBorder="1"/>
    <xf numFmtId="3" fontId="6" fillId="6" borderId="1" xfId="0" applyNumberFormat="1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center" vertical="center"/>
    </xf>
    <xf numFmtId="166" fontId="6" fillId="6" borderId="1" xfId="0" applyNumberFormat="1" applyFont="1" applyFill="1" applyBorder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1" fillId="7" borderId="2" xfId="0" applyFont="1" applyFill="1" applyBorder="1"/>
    <xf numFmtId="0" fontId="1" fillId="0" borderId="3" xfId="0" applyFont="1" applyBorder="1"/>
    <xf numFmtId="0" fontId="2" fillId="0" borderId="3" xfId="0" applyFont="1" applyBorder="1"/>
    <xf numFmtId="0" fontId="8" fillId="8" borderId="0" xfId="0" applyFont="1" applyFill="1" applyAlignment="1">
      <alignment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vertical="top" wrapText="1"/>
    </xf>
    <xf numFmtId="0" fontId="9" fillId="9" borderId="0" xfId="0" applyFont="1" applyFill="1" applyAlignment="1">
      <alignment vertical="top" wrapText="1"/>
    </xf>
    <xf numFmtId="0" fontId="10" fillId="10" borderId="0" xfId="0" applyFont="1" applyFill="1" applyAlignment="1">
      <alignment wrapText="1"/>
    </xf>
    <xf numFmtId="0" fontId="11" fillId="4" borderId="0" xfId="0" applyFont="1" applyFill="1" applyAlignment="1">
      <alignment vertical="center"/>
    </xf>
    <xf numFmtId="0" fontId="12" fillId="0" borderId="1" xfId="0" applyFont="1" applyFill="1" applyBorder="1"/>
    <xf numFmtId="0" fontId="1" fillId="6" borderId="1" xfId="0" applyFont="1" applyFill="1" applyBorder="1"/>
    <xf numFmtId="166" fontId="1" fillId="6" borderId="1" xfId="0" applyNumberFormat="1" applyFont="1" applyFill="1" applyBorder="1"/>
    <xf numFmtId="0" fontId="13" fillId="11" borderId="0" xfId="0" applyFont="1" applyFill="1" applyAlignment="1">
      <alignment vertical="top" wrapText="1"/>
    </xf>
    <xf numFmtId="0" fontId="14" fillId="4" borderId="0" xfId="0" applyFont="1" applyFill="1" applyAlignment="1">
      <alignment vertical="center"/>
    </xf>
    <xf numFmtId="0" fontId="15" fillId="8" borderId="4" xfId="0" applyFont="1" applyFill="1" applyBorder="1"/>
    <xf numFmtId="0" fontId="12" fillId="0" borderId="4" xfId="0" applyFont="1" applyFill="1" applyBorder="1"/>
    <xf numFmtId="0" fontId="1" fillId="0" borderId="4" xfId="0" applyFont="1" applyFill="1" applyBorder="1" applyAlignment="1">
      <alignment wrapText="1"/>
    </xf>
    <xf numFmtId="0" fontId="1" fillId="0" borderId="0" xfId="0" applyFont="1" applyAlignment="1">
      <alignment horizontal="right" wrapText="1" readingOrder="2"/>
    </xf>
    <xf numFmtId="0" fontId="16" fillId="9" borderId="0" xfId="0" applyFont="1" applyFill="1" applyAlignment="1">
      <alignment horizontal="right" wrapText="1" readingOrder="2"/>
    </xf>
    <xf numFmtId="0" fontId="17" fillId="12" borderId="0" xfId="0" applyFont="1" applyFill="1" applyAlignment="1">
      <alignment vertical="center"/>
    </xf>
  </cellXfs>
  <cellStyles count="1">
    <cellStyle name="Normal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7D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rgb="FFFFF7D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rgb="FFFFF7D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#,##0.#######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#,##0.#######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#,##0.#######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#,##0.#######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#,##0.#######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#,##0.#######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#,##0.#######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#,##0.#######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4" formatCode="#,##0.#######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Effective price snapshot (first 10 products)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Products!$S$1</c:f>
              <c:strCache>
                <c:ptCount val="1"/>
                <c:pt idx="0">
                  <c:v>Effective Price (IRT)</c:v>
                </c:pt>
              </c:strCache>
            </c:strRef>
          </c:tx>
          <c:invertIfNegative val="0"/>
          <c:cat>
            <c:strRef>
              <c:f>Products!$B$2:$B$9</c:f>
              <c:strCache>
                <c:ptCount val="8"/>
                <c:pt idx="0">
                  <c:v>Raspberry Pi 5 8GB</c:v>
                </c:pt>
                <c:pt idx="1">
                  <c:v>ESP32-S3 Development Board</c:v>
                </c:pt>
                <c:pt idx="2">
                  <c:v>Arduino Nano Every</c:v>
                </c:pt>
                <c:pt idx="3">
                  <c:v>LoRa SX1278 Module</c:v>
                </c:pt>
                <c:pt idx="4">
                  <c:v>5V 10A Switching Power Supply</c:v>
                </c:pt>
                <c:pt idx="5">
                  <c:v>INA219 Current Sensor</c:v>
                </c:pt>
                <c:pt idx="6">
                  <c:v>2.8 inch SPI TFT Display</c:v>
                </c:pt>
                <c:pt idx="7">
                  <c:v>USB Logic Analyzer 24MHz</c:v>
                </c:pt>
              </c:strCache>
            </c:strRef>
          </c:cat>
          <c:val>
            <c:numRef>
              <c:f>Products!$S$2:$S$9</c:f>
              <c:numCache>
                <c:formatCode>#,##0</c:formatCode>
                <c:ptCount val="8"/>
                <c:pt idx="0">
                  <c:v>3201842</c:v>
                </c:pt>
                <c:pt idx="1">
                  <c:v>415401</c:v>
                </c:pt>
                <c:pt idx="2">
                  <c:v>572615</c:v>
                </c:pt>
                <c:pt idx="3">
                  <c:v>208194</c:v>
                </c:pt>
                <c:pt idx="4">
                  <c:v>1619833</c:v>
                </c:pt>
                <c:pt idx="5">
                  <c:v>88639</c:v>
                </c:pt>
                <c:pt idx="6">
                  <c:v>512097</c:v>
                </c:pt>
                <c:pt idx="7">
                  <c:v>326269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67-4561-B212-95C1CAB7B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3050352"/>
        <c:axId val="453051312"/>
      </c:barChart>
      <c:catAx>
        <c:axId val="453050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53051312"/>
        <c:crosses val="autoZero"/>
        <c:auto val="1"/>
        <c:lblAlgn val="ctr"/>
        <c:lblOffset val="100"/>
        <c:noMultiLvlLbl val="0"/>
      </c:catAx>
      <c:valAx>
        <c:axId val="453051312"/>
        <c:scaling>
          <c:orientation val="minMax"/>
        </c:scaling>
        <c:delete val="0"/>
        <c:axPos val="b"/>
        <c:majorGridlines/>
        <c:numFmt formatCode="#,##0" sourceLinked="0"/>
        <c:majorTickMark val="out"/>
        <c:minorTickMark val="none"/>
        <c:tickLblPos val="nextTo"/>
        <c:crossAx val="4530503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CBD5E1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" textlink="">
      <xdr:nvSpPr>
        <xdr:cNvPr id="2" name="LogoPlaceholder">
          <a:extLst>
            <a:ext uri="{FF2B5EF4-FFF2-40B4-BE49-F238E27FC236}">
              <a16:creationId xmlns:a16="http://schemas.microsoft.com/office/drawing/2014/main" id="{0B0F9454-378C-B9F9-98CE-E7B539E6350D}"/>
            </a:ext>
          </a:extLst>
        </xdr:cNvPr>
        <xdr:cNvSpPr/>
      </xdr:nvSpPr>
      <xdr:spPr>
        <a:xfrm>
          <a:off x="7629525" y="0"/>
          <a:ext cx="3390900" cy="828675"/>
        </a:xfrm>
        <a:prstGeom prst="roundRect">
          <a:avLst/>
        </a:prstGeom>
        <a:solidFill>
          <a:srgbClr val="F8FAFC"/>
        </a:solidFill>
        <a:ln>
          <a:solidFill>
            <a:srgbClr val="CBD5E1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64748B"/>
              </a:solidFill>
              <a:latin typeface="Aptos" panose="020B0004020202020204" pitchFamily="34" charset="0"/>
            </a:rPr>
            <a:t>YOUR LOGO</a:t>
          </a:r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320675</xdr:colOff>
      <xdr:row>10</xdr:row>
      <xdr:rowOff>79375</xdr:rowOff>
    </xdr:to>
    <xdr:sp macro="PatrisDashboard.SearchProduc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FACA383-4FAF-62A9-C080-C644E743DFA2}"/>
            </a:ext>
          </a:extLst>
        </xdr:cNvPr>
        <xdr:cNvSpPr/>
      </xdr:nvSpPr>
      <xdr:spPr>
        <a:xfrm>
          <a:off x="5086350" y="2486025"/>
          <a:ext cx="1168400" cy="355600"/>
        </a:xfrm>
        <a:prstGeom prst="roundRect">
          <a:avLst/>
        </a:prstGeom>
        <a:solidFill>
          <a:srgbClr val="0F766E"/>
        </a:solidFill>
        <a:ln>
          <a:solidFill>
            <a:srgbClr val="0B5F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Search products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8</xdr:col>
      <xdr:colOff>685800</xdr:colOff>
      <xdr:row>10</xdr:row>
      <xdr:rowOff>79375</xdr:rowOff>
    </xdr:to>
    <xdr:sp macro="PatrisDashboard.ResetSearc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7D4C861-564E-ACD6-D158-7916013149EA}"/>
            </a:ext>
          </a:extLst>
        </xdr:cNvPr>
        <xdr:cNvSpPr/>
      </xdr:nvSpPr>
      <xdr:spPr>
        <a:xfrm>
          <a:off x="6781800" y="2486025"/>
          <a:ext cx="685800" cy="355600"/>
        </a:xfrm>
        <a:prstGeom prst="roundRect">
          <a:avLst/>
        </a:prstGeom>
        <a:solidFill>
          <a:srgbClr val="0F766E"/>
        </a:solidFill>
        <a:ln>
          <a:solidFill>
            <a:srgbClr val="0B5F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Reset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92075</xdr:colOff>
      <xdr:row>10</xdr:row>
      <xdr:rowOff>79375</xdr:rowOff>
    </xdr:to>
    <xdr:sp macro="PatrisDashboard.Refresh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72FCAC5-F757-8A3D-7381-7FA3B3CA17B6}"/>
            </a:ext>
          </a:extLst>
        </xdr:cNvPr>
        <xdr:cNvSpPr/>
      </xdr:nvSpPr>
      <xdr:spPr>
        <a:xfrm>
          <a:off x="7629525" y="2486025"/>
          <a:ext cx="939800" cy="355600"/>
        </a:xfrm>
        <a:prstGeom prst="roundRect">
          <a:avLst/>
        </a:prstGeom>
        <a:solidFill>
          <a:srgbClr val="0F766E"/>
        </a:solidFill>
        <a:ln>
          <a:solidFill>
            <a:srgbClr val="0B5F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Refresh data</a:t>
          </a: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41275</xdr:colOff>
      <xdr:row>10</xdr:row>
      <xdr:rowOff>79375</xdr:rowOff>
    </xdr:to>
    <xdr:sp macro="PatrisDashboard.ChooseCompanyLogo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883ADD3-63A8-46EF-7152-9E8FEC74BCEC}"/>
            </a:ext>
          </a:extLst>
        </xdr:cNvPr>
        <xdr:cNvSpPr/>
      </xdr:nvSpPr>
      <xdr:spPr>
        <a:xfrm>
          <a:off x="9324975" y="2486025"/>
          <a:ext cx="889000" cy="355600"/>
        </a:xfrm>
        <a:prstGeom prst="roundRect">
          <a:avLst/>
        </a:prstGeom>
        <a:solidFill>
          <a:srgbClr val="0F766E"/>
        </a:solidFill>
        <a:ln>
          <a:solidFill>
            <a:srgbClr val="0B5F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Choose logo</a:t>
          </a: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7" name="PriceChart">
          <a:extLst>
            <a:ext uri="{FF2B5EF4-FFF2-40B4-BE49-F238E27FC236}">
              <a16:creationId xmlns:a16="http://schemas.microsoft.com/office/drawing/2014/main" id="{96033C2B-457D-CBD3-0B83-B3E00302C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85419-465A-4BF7-90E7-1F7BDE724037}" name="tblProducts" displayName="tblProducts" ref="A1:U9" totalsRowShown="0" headerRowDxfId="5" dataDxfId="6">
  <autoFilter ref="A1:U9" xr:uid="{A7685419-465A-4BF7-90E7-1F7BDE724037}"/>
  <tableColumns count="21">
    <tableColumn id="1" xr3:uid="{77D346BF-0A14-4503-B6A6-9DB5396813DF}" name="Code" dataDxfId="22"/>
    <tableColumn id="2" xr3:uid="{DC6CA390-1C8F-4641-905F-6CF03B2B70C1}" name="Name" dataDxfId="21"/>
    <tableColumn id="3" xr3:uid="{E464FCAC-DFB3-4A8E-A183-0475643DB808}" name="Part Number" dataDxfId="20"/>
    <tableColumn id="4" xr3:uid="{13E11A97-DABB-462F-B75A-D2CD6CDAFB46}" name="Category" dataDxfId="19"/>
    <tableColumn id="5" xr3:uid="{3E3FC480-A048-4A66-B9E5-71E5E3B0D2F8}" name="Warehouse 1" dataDxfId="18"/>
    <tableColumn id="6" xr3:uid="{DF171547-BF09-4B6D-923E-89CACC611636}" name="Warehouse 2" dataDxfId="17"/>
    <tableColumn id="7" xr3:uid="{3B65DD2B-4602-4B75-A13E-796A98D227B0}" name="Total Stock" dataDxfId="16"/>
    <tableColumn id="8" xr3:uid="{4EF8E610-321D-4D88-BBD8-537CABE1B047}" name="Foreign Price (CNY)" dataDxfId="15"/>
    <tableColumn id="9" xr3:uid="{52705A1E-BBB6-4186-B011-C63708F7892E}" name="Weight (g)" dataDxfId="14"/>
    <tableColumn id="10" xr3:uid="{BE5DBCBB-243E-4577-8579-C53368F5A39D}" name="Shipping Method" dataDxfId="13"/>
    <tableColumn id="11" xr3:uid="{F9BB979F-66CB-4ED8-92A0-3EB334A46759}" name="Shipping Price/kg" dataDxfId="12"/>
    <tableColumn id="12" xr3:uid="{4E48BEA0-04CF-427E-9149-3A61D8A67380}" name="Shipping Currency" dataDxfId="11"/>
    <tableColumn id="13" xr3:uid="{078FE791-F919-4312-ABDD-A26F24936C37}" name="Profit Margin (%)" dataDxfId="10"/>
    <tableColumn id="14" xr3:uid="{CC861764-8E1E-4F18-A288-4D8A7B157E15}" name="IRT per CNY" dataDxfId="9"/>
    <tableColumn id="15" xr3:uid="{B9F84090-149D-4E5B-964A-4C4F1A626119}" name="Final Price (IRT)" dataDxfId="4">
      <calculatedColumnFormula>IF(AND(COUNT(H2,I2,K2,M2,N2)=5,OR(L2="CNY",L2="IRR")),ROUND((H2*N2+I2/1000*IF(L2="CNY",K2*N2,K2/10))*(1+M2/100),0),"")</calculatedColumnFormula>
    </tableColumn>
    <tableColumn id="16" xr3:uid="{C8A95ABF-8120-44B2-A16D-8230A5DC1975}" name="Manual Price Override (IRT)" dataDxfId="3"/>
    <tableColumn id="17" xr3:uid="{4060015B-1F16-4BE1-A25C-F8A81F5B720F}" name="Review Status" dataDxfId="2"/>
    <tableColumn id="18" xr3:uid="{8854D4AD-0B64-4B64-A804-07B2C099F6F7}" name="Notes" dataDxfId="0"/>
    <tableColumn id="19" xr3:uid="{752C3F23-DF3E-47D4-8EF5-DC226B7CAADD}" name="Effective Price (IRT)" dataDxfId="1">
      <calculatedColumnFormula>IF(ISNUMBER(P2),P2,O2)</calculatedColumnFormula>
    </tableColumn>
    <tableColumn id="20" xr3:uid="{BB230CB6-09DB-4BB3-ACAE-A2696222B1A5}" name="Source" dataDxfId="8"/>
    <tableColumn id="21" xr3:uid="{ADCAD232-ECDD-4D5A-B6CE-01B71DEB2AB2}" name="Search Index" dataDxfId="7">
      <calculatedColumnFormula>LOWER(A2&amp;" "&amp;B2&amp;" "&amp;C2&amp;" "&amp;Q2&amp;" "&amp;R2)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2BF0E-B31C-42A5-AEC3-2CF2767075BD}">
  <sheetPr codeName="Sheet1">
    <pageSetUpPr fitToPage="1"/>
  </sheetPr>
  <dimension ref="A1:M30"/>
  <sheetViews>
    <sheetView showGridLines="0" tabSelected="1" zoomScale="90" zoomScaleNormal="90" workbookViewId="0">
      <selection sqref="A1:I2"/>
    </sheetView>
  </sheetViews>
  <sheetFormatPr defaultRowHeight="13.5" x14ac:dyDescent="0.25"/>
  <cols>
    <col min="1" max="13" width="12.7109375" style="1" customWidth="1"/>
    <col min="14" max="16384" width="9.140625" style="1"/>
  </cols>
  <sheetData>
    <row r="1" spans="1:13" ht="21.95" customHeight="1" x14ac:dyDescent="0.25">
      <c r="A1" s="10" t="s">
        <v>60</v>
      </c>
      <c r="B1" s="10"/>
      <c r="C1" s="10"/>
      <c r="D1" s="10"/>
      <c r="E1" s="10"/>
      <c r="F1" s="10"/>
      <c r="G1" s="10"/>
      <c r="H1" s="10"/>
      <c r="I1" s="10"/>
    </row>
    <row r="2" spans="1:13" ht="21.95" customHeight="1" x14ac:dyDescent="0.25">
      <c r="A2" s="10"/>
      <c r="B2" s="10"/>
      <c r="C2" s="10"/>
      <c r="D2" s="10"/>
      <c r="E2" s="10"/>
      <c r="F2" s="10"/>
      <c r="G2" s="10"/>
      <c r="H2" s="10"/>
      <c r="I2" s="10"/>
    </row>
    <row r="3" spans="1:13" ht="21.95" customHeight="1" x14ac:dyDescent="0.25">
      <c r="A3" s="11" t="s">
        <v>61</v>
      </c>
      <c r="B3" s="9"/>
      <c r="C3" s="9"/>
      <c r="D3" s="9"/>
      <c r="E3" s="9"/>
      <c r="F3" s="9"/>
      <c r="G3" s="9"/>
      <c r="H3" s="9"/>
      <c r="I3" s="9"/>
    </row>
    <row r="4" spans="1:13" ht="21.95" customHeight="1" x14ac:dyDescent="0.25"/>
    <row r="5" spans="1:13" ht="21.95" customHeight="1" x14ac:dyDescent="0.25">
      <c r="A5" s="12" t="s">
        <v>62</v>
      </c>
      <c r="B5" s="12"/>
      <c r="C5" s="12"/>
      <c r="D5" s="12" t="s">
        <v>63</v>
      </c>
      <c r="E5" s="12"/>
      <c r="F5" s="12"/>
      <c r="G5" s="12" t="s">
        <v>64</v>
      </c>
      <c r="H5" s="12"/>
      <c r="I5" s="12"/>
      <c r="J5" s="12" t="s">
        <v>65</v>
      </c>
      <c r="K5" s="12"/>
      <c r="L5" s="12"/>
      <c r="M5" s="12"/>
    </row>
    <row r="6" spans="1:13" ht="21.95" customHeight="1" x14ac:dyDescent="0.25">
      <c r="A6" s="14">
        <f>ROWS(tblProducts[Code])</f>
        <v>8</v>
      </c>
      <c r="B6" s="14"/>
      <c r="C6" s="14"/>
      <c r="D6" s="14">
        <f>SUM(tblProducts[Total Stock])</f>
        <v>138</v>
      </c>
      <c r="E6" s="14"/>
      <c r="F6" s="14"/>
      <c r="G6" s="15">
        <f>IFERROR(AVERAGE(tblProducts[Effective Price (IRT)]),0)</f>
        <v>868111.25</v>
      </c>
      <c r="H6" s="15"/>
      <c r="I6" s="15"/>
      <c r="J6" s="16">
        <f>Settings!B5</f>
        <v>0</v>
      </c>
      <c r="K6" s="16"/>
      <c r="L6" s="16"/>
      <c r="M6" s="16"/>
    </row>
    <row r="7" spans="1:13" ht="21.95" customHeight="1" x14ac:dyDescent="0.25">
      <c r="A7" s="14"/>
      <c r="B7" s="14"/>
      <c r="C7" s="14"/>
      <c r="D7" s="14"/>
      <c r="E7" s="14"/>
      <c r="F7" s="14"/>
      <c r="G7" s="15"/>
      <c r="H7" s="15"/>
      <c r="I7" s="15"/>
      <c r="J7" s="16"/>
      <c r="K7" s="16"/>
      <c r="L7" s="16"/>
      <c r="M7" s="16"/>
    </row>
    <row r="8" spans="1:13" ht="21.95" customHeight="1" x14ac:dyDescent="0.25"/>
    <row r="9" spans="1:13" ht="21.95" customHeight="1" x14ac:dyDescent="0.25">
      <c r="A9" s="17" t="s">
        <v>66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</row>
    <row r="10" spans="1:13" ht="21.95" customHeight="1" x14ac:dyDescent="0.25">
      <c r="A10" s="1" t="s">
        <v>67</v>
      </c>
      <c r="B10" s="18"/>
      <c r="C10" s="18"/>
      <c r="D10" s="18"/>
      <c r="E10" s="18"/>
      <c r="F10" s="18"/>
    </row>
    <row r="11" spans="1:13" ht="21.95" customHeight="1" x14ac:dyDescent="0.25">
      <c r="B11" s="20"/>
      <c r="C11" s="19"/>
      <c r="D11" s="19"/>
      <c r="E11" s="19"/>
      <c r="F11" s="19"/>
    </row>
    <row r="12" spans="1:13" ht="21.95" customHeight="1" x14ac:dyDescent="0.25"/>
    <row r="13" spans="1:13" ht="21.95" customHeight="1" x14ac:dyDescent="0.25">
      <c r="I13" s="21" t="s">
        <v>68</v>
      </c>
      <c r="J13" s="21"/>
      <c r="K13" s="21"/>
      <c r="L13" s="21"/>
      <c r="M13" s="21"/>
    </row>
    <row r="14" spans="1:13" ht="21.95" customHeight="1" x14ac:dyDescent="0.25">
      <c r="I14" s="24" t="s">
        <v>69</v>
      </c>
      <c r="J14" s="23"/>
      <c r="K14" s="23"/>
      <c r="L14" s="23"/>
      <c r="M14" s="23"/>
    </row>
    <row r="15" spans="1:13" ht="21.95" customHeight="1" x14ac:dyDescent="0.25">
      <c r="I15" s="23"/>
      <c r="J15" s="23"/>
      <c r="K15" s="23"/>
      <c r="L15" s="23"/>
      <c r="M15" s="23"/>
    </row>
    <row r="16" spans="1:13" ht="21.95" customHeight="1" x14ac:dyDescent="0.25">
      <c r="I16" s="23"/>
      <c r="J16" s="23"/>
      <c r="K16" s="23"/>
      <c r="L16" s="23"/>
      <c r="M16" s="23"/>
    </row>
    <row r="17" spans="9:13" ht="21.95" customHeight="1" x14ac:dyDescent="0.25">
      <c r="I17" s="23"/>
      <c r="J17" s="23"/>
      <c r="K17" s="23"/>
      <c r="L17" s="23"/>
      <c r="M17" s="23"/>
    </row>
    <row r="18" spans="9:13" ht="21.95" customHeight="1" x14ac:dyDescent="0.25">
      <c r="I18" s="23"/>
      <c r="J18" s="23"/>
      <c r="K18" s="23"/>
      <c r="L18" s="23"/>
      <c r="M18" s="23"/>
    </row>
    <row r="19" spans="9:13" ht="21.95" customHeight="1" x14ac:dyDescent="0.25">
      <c r="I19" s="23"/>
      <c r="J19" s="23"/>
      <c r="K19" s="23"/>
      <c r="L19" s="23"/>
      <c r="M19" s="23"/>
    </row>
    <row r="20" spans="9:13" ht="21.95" customHeight="1" x14ac:dyDescent="0.25">
      <c r="I20" s="23"/>
      <c r="J20" s="23"/>
      <c r="K20" s="23"/>
      <c r="L20" s="23"/>
      <c r="M20" s="23"/>
    </row>
    <row r="21" spans="9:13" ht="21.95" customHeight="1" x14ac:dyDescent="0.25">
      <c r="I21" s="23"/>
      <c r="J21" s="23"/>
      <c r="K21" s="23"/>
      <c r="L21" s="23"/>
      <c r="M21" s="23"/>
    </row>
    <row r="22" spans="9:13" ht="21.95" customHeight="1" x14ac:dyDescent="0.25">
      <c r="I22" s="23"/>
      <c r="J22" s="23"/>
      <c r="K22" s="23"/>
      <c r="L22" s="23"/>
      <c r="M22" s="23"/>
    </row>
    <row r="23" spans="9:13" ht="21.95" customHeight="1" x14ac:dyDescent="0.25">
      <c r="I23" s="23"/>
      <c r="J23" s="23"/>
      <c r="K23" s="23"/>
      <c r="L23" s="23"/>
      <c r="M23" s="23"/>
    </row>
    <row r="24" spans="9:13" ht="21.95" customHeight="1" x14ac:dyDescent="0.25">
      <c r="I24" s="23"/>
      <c r="J24" s="23"/>
      <c r="K24" s="23"/>
      <c r="L24" s="23"/>
      <c r="M24" s="23"/>
    </row>
    <row r="25" spans="9:13" ht="21.95" customHeight="1" x14ac:dyDescent="0.25">
      <c r="I25" s="23"/>
      <c r="J25" s="23"/>
      <c r="K25" s="23"/>
      <c r="L25" s="23"/>
      <c r="M25" s="23"/>
    </row>
    <row r="26" spans="9:13" ht="21.95" customHeight="1" x14ac:dyDescent="0.25"/>
    <row r="27" spans="9:13" ht="21.95" customHeight="1" x14ac:dyDescent="0.25">
      <c r="I27" s="25" t="s">
        <v>70</v>
      </c>
      <c r="J27" s="22"/>
      <c r="K27" s="22"/>
      <c r="L27" s="22"/>
      <c r="M27" s="22"/>
    </row>
    <row r="28" spans="9:13" ht="21.95" customHeight="1" x14ac:dyDescent="0.25">
      <c r="I28" s="22"/>
      <c r="J28" s="22"/>
      <c r="K28" s="22"/>
      <c r="L28" s="22"/>
      <c r="M28" s="22"/>
    </row>
    <row r="29" spans="9:13" ht="21.95" customHeight="1" x14ac:dyDescent="0.25">
      <c r="I29" s="22"/>
      <c r="J29" s="22"/>
      <c r="K29" s="22"/>
      <c r="L29" s="22"/>
      <c r="M29" s="22"/>
    </row>
    <row r="30" spans="9:13" ht="21.95" customHeight="1" x14ac:dyDescent="0.25"/>
  </sheetData>
  <mergeCells count="16">
    <mergeCell ref="I14:M25"/>
    <mergeCell ref="I27:M29"/>
    <mergeCell ref="J5:M5"/>
    <mergeCell ref="J6:M7"/>
    <mergeCell ref="A9:M9"/>
    <mergeCell ref="B10:F10"/>
    <mergeCell ref="B11:F11"/>
    <mergeCell ref="I13:M13"/>
    <mergeCell ref="A1:I2"/>
    <mergeCell ref="A3:I3"/>
    <mergeCell ref="A5:C5"/>
    <mergeCell ref="A6:C7"/>
    <mergeCell ref="D5:F5"/>
    <mergeCell ref="D6:F7"/>
    <mergeCell ref="G5:I5"/>
    <mergeCell ref="G6:I7"/>
  </mergeCells>
  <pageMargins left="0.7" right="0.7" top="0.75" bottom="0.75" header="0.3" footer="0.3"/>
  <pageSetup paperSize="9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46CC-6903-44BA-AAD2-187C8FE2478D}">
  <sheetPr codeName="Sheet2">
    <pageSetUpPr fitToPage="1"/>
  </sheetPr>
  <dimension ref="A1:W9"/>
  <sheetViews>
    <sheetView showGridLines="0" workbookViewId="0">
      <pane ySplit="1" topLeftCell="A2" activePane="bottomLeft" state="frozenSplit"/>
      <selection pane="bottomLeft"/>
    </sheetView>
  </sheetViews>
  <sheetFormatPr defaultRowHeight="13.5" x14ac:dyDescent="0.25"/>
  <cols>
    <col min="1" max="1" width="13.7109375" style="1" customWidth="1"/>
    <col min="2" max="2" width="31.7109375" style="1" customWidth="1"/>
    <col min="3" max="3" width="19.7109375" style="1" customWidth="1"/>
    <col min="4" max="4" width="23.7109375" style="1" customWidth="1"/>
    <col min="5" max="7" width="13.7109375" style="1" customWidth="1"/>
    <col min="8" max="8" width="20.7109375" style="1" customWidth="1"/>
    <col min="9" max="9" width="13.7109375" style="1" customWidth="1"/>
    <col min="10" max="11" width="18.7109375" style="1" customWidth="1"/>
    <col min="12" max="12" width="16.7109375" style="1" customWidth="1"/>
    <col min="13" max="13" width="18.7109375" style="1" customWidth="1"/>
    <col min="14" max="14" width="15.7109375" style="1" customWidth="1"/>
    <col min="15" max="15" width="20.7109375" style="1" customWidth="1"/>
    <col min="16" max="16" width="24.7109375" style="1" customWidth="1"/>
    <col min="17" max="17" width="16.7109375" style="1" customWidth="1"/>
    <col min="18" max="18" width="28.7109375" style="1" customWidth="1"/>
    <col min="19" max="19" width="21.7109375" style="1" customWidth="1"/>
    <col min="20" max="20" width="17.7109375" style="1" customWidth="1"/>
    <col min="21" max="21" width="14.28515625" style="1" hidden="1" customWidth="1"/>
    <col min="22" max="22" width="9.140625" style="1"/>
    <col min="23" max="23" width="30.7109375" style="1" customWidth="1"/>
    <col min="24" max="16384" width="9.140625" style="1"/>
  </cols>
  <sheetData>
    <row r="1" spans="1:23" ht="30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W1" s="8" t="s">
        <v>59</v>
      </c>
    </row>
    <row r="2" spans="1:23" x14ac:dyDescent="0.25">
      <c r="A2" s="2" t="s">
        <v>21</v>
      </c>
      <c r="B2" s="1" t="s">
        <v>22</v>
      </c>
      <c r="C2" s="1" t="s">
        <v>23</v>
      </c>
      <c r="D2" s="1" t="s">
        <v>24</v>
      </c>
      <c r="E2" s="3">
        <v>8</v>
      </c>
      <c r="F2" s="3">
        <v>5</v>
      </c>
      <c r="G2" s="3">
        <v>13</v>
      </c>
      <c r="H2" s="3">
        <v>88</v>
      </c>
      <c r="I2" s="3">
        <v>110</v>
      </c>
      <c r="J2" s="3" t="s">
        <v>25</v>
      </c>
      <c r="K2" s="3">
        <v>85</v>
      </c>
      <c r="L2" s="1" t="s">
        <v>26</v>
      </c>
      <c r="M2" s="3">
        <v>30</v>
      </c>
      <c r="N2" s="3">
        <v>25300</v>
      </c>
      <c r="O2" s="4">
        <f t="shared" ref="O2:O9" si="0">IF(AND(COUNT(H2,I2,K2,M2,N2)=5,OR(L2="CNY",L2="IRR")),ROUND((H2*N2+I2/1000*IF(L2="CNY",K2*N2,K2/10))*(1+M2/100),0),"")</f>
        <v>3201842</v>
      </c>
      <c r="P2" s="5"/>
      <c r="Q2" s="6" t="s">
        <v>27</v>
      </c>
      <c r="R2" s="6" t="s">
        <v>28</v>
      </c>
      <c r="S2" s="4">
        <f t="shared" ref="S2:S9" si="1">IF(ISNUMBER(P2),P2,O2)</f>
        <v>3201842</v>
      </c>
      <c r="T2" s="1" t="s">
        <v>29</v>
      </c>
      <c r="U2" s="1" t="str">
        <f t="shared" ref="U2:U9" si="2">LOWER(A2&amp;" "&amp;B2&amp;" "&amp;C2&amp;" "&amp;Q2&amp;" "&amp;R2)</f>
        <v>dg-1001 raspberry pi 5 8gb sc1112 approved featured item</v>
      </c>
    </row>
    <row r="3" spans="1:23" x14ac:dyDescent="0.25">
      <c r="A3" s="2" t="s">
        <v>30</v>
      </c>
      <c r="B3" s="1" t="s">
        <v>31</v>
      </c>
      <c r="C3" s="1" t="s">
        <v>32</v>
      </c>
      <c r="D3" s="1" t="s">
        <v>33</v>
      </c>
      <c r="E3" s="3">
        <v>18</v>
      </c>
      <c r="F3" s="3">
        <v>7</v>
      </c>
      <c r="G3" s="3">
        <v>25</v>
      </c>
      <c r="H3" s="3">
        <v>9.4</v>
      </c>
      <c r="I3" s="3">
        <v>38</v>
      </c>
      <c r="J3" s="3" t="s">
        <v>25</v>
      </c>
      <c r="K3" s="3">
        <v>85</v>
      </c>
      <c r="L3" s="1" t="s">
        <v>26</v>
      </c>
      <c r="M3" s="3">
        <v>30</v>
      </c>
      <c r="N3" s="3">
        <v>25300</v>
      </c>
      <c r="O3" s="4">
        <f t="shared" si="0"/>
        <v>415401</v>
      </c>
      <c r="P3" s="5"/>
      <c r="Q3" s="6" t="s">
        <v>34</v>
      </c>
      <c r="R3" s="6"/>
      <c r="S3" s="4">
        <f t="shared" si="1"/>
        <v>415401</v>
      </c>
      <c r="T3" s="1" t="s">
        <v>29</v>
      </c>
      <c r="U3" s="1" t="str">
        <f t="shared" si="2"/>
        <v xml:space="preserve">dg-1002 esp32-s3 development board esp32-s3-devkitc needs review </v>
      </c>
    </row>
    <row r="4" spans="1:23" x14ac:dyDescent="0.25">
      <c r="A4" s="2" t="s">
        <v>35</v>
      </c>
      <c r="B4" s="1" t="s">
        <v>36</v>
      </c>
      <c r="C4" s="1" t="s">
        <v>37</v>
      </c>
      <c r="D4" s="1" t="s">
        <v>33</v>
      </c>
      <c r="E4" s="3">
        <v>12</v>
      </c>
      <c r="F4" s="3">
        <v>6</v>
      </c>
      <c r="G4" s="3">
        <v>18</v>
      </c>
      <c r="H4" s="3">
        <v>15.2</v>
      </c>
      <c r="I4" s="3">
        <v>26</v>
      </c>
      <c r="J4" s="3" t="s">
        <v>25</v>
      </c>
      <c r="K4" s="3">
        <v>85</v>
      </c>
      <c r="L4" s="1" t="s">
        <v>26</v>
      </c>
      <c r="M4" s="3">
        <v>30</v>
      </c>
      <c r="N4" s="3">
        <v>25300</v>
      </c>
      <c r="O4" s="4">
        <f t="shared" si="0"/>
        <v>572615</v>
      </c>
      <c r="P4" s="5"/>
      <c r="Q4" s="6" t="s">
        <v>27</v>
      </c>
      <c r="R4" s="6"/>
      <c r="S4" s="4">
        <f t="shared" si="1"/>
        <v>572615</v>
      </c>
      <c r="T4" s="1" t="s">
        <v>29</v>
      </c>
      <c r="U4" s="1" t="str">
        <f t="shared" si="2"/>
        <v xml:space="preserve">dg-1003 arduino nano every abx00028 approved </v>
      </c>
    </row>
    <row r="5" spans="1:23" x14ac:dyDescent="0.25">
      <c r="A5" s="2" t="s">
        <v>38</v>
      </c>
      <c r="B5" s="1" t="s">
        <v>39</v>
      </c>
      <c r="C5" s="1" t="s">
        <v>40</v>
      </c>
      <c r="D5" s="1" t="s">
        <v>41</v>
      </c>
      <c r="E5" s="3">
        <v>20</v>
      </c>
      <c r="F5" s="3">
        <v>10</v>
      </c>
      <c r="G5" s="3">
        <v>30</v>
      </c>
      <c r="H5" s="3">
        <v>4.8</v>
      </c>
      <c r="I5" s="3">
        <v>18</v>
      </c>
      <c r="J5" s="3" t="s">
        <v>25</v>
      </c>
      <c r="K5" s="3">
        <v>85</v>
      </c>
      <c r="L5" s="1" t="s">
        <v>26</v>
      </c>
      <c r="M5" s="3">
        <v>30</v>
      </c>
      <c r="N5" s="3">
        <v>25300</v>
      </c>
      <c r="O5" s="4">
        <f t="shared" si="0"/>
        <v>208194</v>
      </c>
      <c r="P5" s="5"/>
      <c r="Q5" s="6" t="s">
        <v>34</v>
      </c>
      <c r="R5" s="6"/>
      <c r="S5" s="4">
        <f t="shared" si="1"/>
        <v>208194</v>
      </c>
      <c r="T5" s="1" t="s">
        <v>29</v>
      </c>
      <c r="U5" s="1" t="str">
        <f t="shared" si="2"/>
        <v xml:space="preserve">dg-1004 lora sx1278 module ra-02 needs review </v>
      </c>
    </row>
    <row r="6" spans="1:23" x14ac:dyDescent="0.25">
      <c r="A6" s="2" t="s">
        <v>42</v>
      </c>
      <c r="B6" s="1" t="s">
        <v>43</v>
      </c>
      <c r="C6" s="1" t="s">
        <v>44</v>
      </c>
      <c r="D6" s="1" t="s">
        <v>45</v>
      </c>
      <c r="E6" s="3">
        <v>4</v>
      </c>
      <c r="F6" s="3">
        <v>3</v>
      </c>
      <c r="G6" s="3">
        <v>7</v>
      </c>
      <c r="H6" s="3">
        <v>12.7</v>
      </c>
      <c r="I6" s="3">
        <v>430</v>
      </c>
      <c r="J6" s="3" t="s">
        <v>25</v>
      </c>
      <c r="K6" s="3">
        <v>85</v>
      </c>
      <c r="L6" s="1" t="s">
        <v>26</v>
      </c>
      <c r="M6" s="3">
        <v>30</v>
      </c>
      <c r="N6" s="3">
        <v>25300</v>
      </c>
      <c r="O6" s="4">
        <f t="shared" si="0"/>
        <v>1619833</v>
      </c>
      <c r="P6" s="5"/>
      <c r="Q6" s="6" t="s">
        <v>27</v>
      </c>
      <c r="R6" s="6"/>
      <c r="S6" s="4">
        <f t="shared" si="1"/>
        <v>1619833</v>
      </c>
      <c r="T6" s="1" t="s">
        <v>29</v>
      </c>
      <c r="U6" s="1" t="str">
        <f t="shared" si="2"/>
        <v xml:space="preserve">dg-1005 5v 10a switching power supply lrs-50-5 approved </v>
      </c>
    </row>
    <row r="7" spans="1:23" x14ac:dyDescent="0.25">
      <c r="A7" s="2" t="s">
        <v>46</v>
      </c>
      <c r="B7" s="1" t="s">
        <v>47</v>
      </c>
      <c r="C7" s="1" t="s">
        <v>48</v>
      </c>
      <c r="D7" s="1" t="s">
        <v>49</v>
      </c>
      <c r="E7" s="3">
        <v>15</v>
      </c>
      <c r="F7" s="3">
        <v>9</v>
      </c>
      <c r="G7" s="3">
        <v>24</v>
      </c>
      <c r="H7" s="3">
        <v>2.1</v>
      </c>
      <c r="I7" s="3">
        <v>7</v>
      </c>
      <c r="J7" s="3" t="s">
        <v>25</v>
      </c>
      <c r="K7" s="3">
        <v>85</v>
      </c>
      <c r="L7" s="1" t="s">
        <v>26</v>
      </c>
      <c r="M7" s="3">
        <v>30</v>
      </c>
      <c r="N7" s="3">
        <v>25300</v>
      </c>
      <c r="O7" s="4">
        <f t="shared" si="0"/>
        <v>88639</v>
      </c>
      <c r="P7" s="5"/>
      <c r="Q7" s="6" t="s">
        <v>34</v>
      </c>
      <c r="R7" s="6"/>
      <c r="S7" s="4">
        <f t="shared" si="1"/>
        <v>88639</v>
      </c>
      <c r="T7" s="1" t="s">
        <v>29</v>
      </c>
      <c r="U7" s="1" t="str">
        <f t="shared" si="2"/>
        <v xml:space="preserve">dg-1006 ina219 current sensor gy-219 needs review </v>
      </c>
    </row>
    <row r="8" spans="1:23" x14ac:dyDescent="0.25">
      <c r="A8" s="2" t="s">
        <v>50</v>
      </c>
      <c r="B8" s="1" t="s">
        <v>51</v>
      </c>
      <c r="C8" s="1" t="s">
        <v>52</v>
      </c>
      <c r="D8" s="1" t="s">
        <v>53</v>
      </c>
      <c r="E8" s="3">
        <v>6</v>
      </c>
      <c r="F8" s="3">
        <v>4</v>
      </c>
      <c r="G8" s="3">
        <v>10</v>
      </c>
      <c r="H8" s="3">
        <v>8.6</v>
      </c>
      <c r="I8" s="3">
        <v>82</v>
      </c>
      <c r="J8" s="3" t="s">
        <v>25</v>
      </c>
      <c r="K8" s="3">
        <v>85</v>
      </c>
      <c r="L8" s="1" t="s">
        <v>26</v>
      </c>
      <c r="M8" s="3">
        <v>30</v>
      </c>
      <c r="N8" s="3">
        <v>25300</v>
      </c>
      <c r="O8" s="4">
        <f t="shared" si="0"/>
        <v>512097</v>
      </c>
      <c r="P8" s="5"/>
      <c r="Q8" s="6" t="s">
        <v>27</v>
      </c>
      <c r="R8" s="6"/>
      <c r="S8" s="4">
        <f t="shared" si="1"/>
        <v>512097</v>
      </c>
      <c r="T8" s="1" t="s">
        <v>29</v>
      </c>
      <c r="U8" s="1" t="str">
        <f t="shared" si="2"/>
        <v xml:space="preserve">dg-1007 2.8 inch spi tft display ili9341-2.8 approved </v>
      </c>
    </row>
    <row r="9" spans="1:23" x14ac:dyDescent="0.25">
      <c r="A9" s="2" t="s">
        <v>54</v>
      </c>
      <c r="B9" s="1" t="s">
        <v>55</v>
      </c>
      <c r="C9" s="1" t="s">
        <v>56</v>
      </c>
      <c r="D9" s="1" t="s">
        <v>57</v>
      </c>
      <c r="E9" s="3">
        <v>9</v>
      </c>
      <c r="F9" s="3">
        <v>2</v>
      </c>
      <c r="G9" s="3">
        <v>11</v>
      </c>
      <c r="H9" s="3">
        <v>5.5</v>
      </c>
      <c r="I9" s="3">
        <v>52</v>
      </c>
      <c r="J9" s="3" t="s">
        <v>25</v>
      </c>
      <c r="K9" s="3">
        <v>21505000</v>
      </c>
      <c r="L9" s="1" t="s">
        <v>58</v>
      </c>
      <c r="M9" s="3">
        <v>30</v>
      </c>
      <c r="N9" s="3">
        <v>25300</v>
      </c>
      <c r="O9" s="4">
        <f t="shared" si="0"/>
        <v>326269</v>
      </c>
      <c r="P9" s="5"/>
      <c r="Q9" s="6" t="s">
        <v>34</v>
      </c>
      <c r="R9" s="6"/>
      <c r="S9" s="4">
        <f t="shared" si="1"/>
        <v>326269</v>
      </c>
      <c r="T9" s="1" t="s">
        <v>29</v>
      </c>
      <c r="U9" s="1" t="str">
        <f t="shared" si="2"/>
        <v xml:space="preserve">dg-1008 usb logic analyzer 24mhz cy7c68013a needs review </v>
      </c>
    </row>
  </sheetData>
  <dataValidations count="1">
    <dataValidation type="list" allowBlank="1" showInputMessage="1" showErrorMessage="1" sqref="Q2:Q9" xr:uid="{F689C048-C7F7-4CD4-8612-F85621FA7CB1}">
      <formula1>"Needs review,Approved,Blocked"</formula1>
    </dataValidation>
  </dataValidations>
  <pageMargins left="0.7" right="0.7" top="0.75" bottom="0.75" header="0.3" footer="0.3"/>
  <pageSetup paperSize="9" orientation="landscape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CA4D-63E1-40AC-BDE9-81AC9CB376AE}">
  <sheetPr codeName="Sheet3">
    <pageSetUpPr fitToPage="1"/>
  </sheetPr>
  <dimension ref="A1:F14"/>
  <sheetViews>
    <sheetView showGridLines="0" workbookViewId="0"/>
  </sheetViews>
  <sheetFormatPr defaultRowHeight="13.5" x14ac:dyDescent="0.25"/>
  <cols>
    <col min="1" max="1" width="25.7109375" style="1" customWidth="1"/>
    <col min="2" max="6" width="18.7109375" style="1" customWidth="1"/>
    <col min="7" max="16384" width="9.140625" style="1"/>
  </cols>
  <sheetData>
    <row r="1" spans="1:6" ht="21" x14ac:dyDescent="0.25">
      <c r="A1" s="26" t="s">
        <v>71</v>
      </c>
      <c r="B1" s="26"/>
      <c r="C1" s="26"/>
      <c r="D1" s="26"/>
      <c r="E1" s="26"/>
      <c r="F1" s="26"/>
    </row>
    <row r="2" spans="1:6" x14ac:dyDescent="0.25">
      <c r="A2" s="27" t="s">
        <v>72</v>
      </c>
      <c r="B2" s="13" t="s">
        <v>73</v>
      </c>
      <c r="C2" s="13"/>
      <c r="D2" s="13"/>
      <c r="E2" s="13"/>
      <c r="F2" s="13"/>
    </row>
    <row r="3" spans="1:6" x14ac:dyDescent="0.25">
      <c r="A3" s="27" t="s">
        <v>74</v>
      </c>
      <c r="B3" s="13"/>
      <c r="C3" s="13"/>
      <c r="D3" s="13"/>
      <c r="E3" s="13"/>
      <c r="F3" s="13"/>
    </row>
    <row r="4" spans="1:6" x14ac:dyDescent="0.25">
      <c r="A4" s="27" t="s">
        <v>75</v>
      </c>
      <c r="B4" s="28" t="s">
        <v>76</v>
      </c>
      <c r="C4" s="28"/>
      <c r="D4" s="28"/>
      <c r="E4" s="28"/>
      <c r="F4" s="28"/>
    </row>
    <row r="5" spans="1:6" x14ac:dyDescent="0.25">
      <c r="A5" s="27" t="s">
        <v>77</v>
      </c>
      <c r="B5" s="29"/>
      <c r="C5" s="28"/>
      <c r="D5" s="28"/>
      <c r="E5" s="28"/>
      <c r="F5" s="28"/>
    </row>
    <row r="6" spans="1:6" x14ac:dyDescent="0.25">
      <c r="A6" s="27" t="s">
        <v>78</v>
      </c>
      <c r="B6" s="28">
        <v>10</v>
      </c>
      <c r="C6" s="28"/>
      <c r="D6" s="28"/>
      <c r="E6" s="28"/>
      <c r="F6" s="28"/>
    </row>
    <row r="7" spans="1:6" x14ac:dyDescent="0.25">
      <c r="A7" s="27" t="s">
        <v>79</v>
      </c>
      <c r="B7" s="28" t="s">
        <v>80</v>
      </c>
      <c r="C7" s="28"/>
      <c r="D7" s="28"/>
      <c r="E7" s="28"/>
      <c r="F7" s="28"/>
    </row>
    <row r="8" spans="1:6" x14ac:dyDescent="0.25">
      <c r="A8" s="27" t="s">
        <v>81</v>
      </c>
      <c r="B8" s="13" t="s">
        <v>82</v>
      </c>
      <c r="C8" s="13"/>
      <c r="D8" s="13"/>
      <c r="E8" s="13"/>
      <c r="F8" s="13"/>
    </row>
    <row r="10" spans="1:6" x14ac:dyDescent="0.25">
      <c r="A10" s="30" t="s">
        <v>83</v>
      </c>
      <c r="B10" s="23"/>
      <c r="C10" s="23"/>
      <c r="D10" s="23"/>
      <c r="E10" s="23"/>
      <c r="F10" s="23"/>
    </row>
    <row r="11" spans="1:6" x14ac:dyDescent="0.25">
      <c r="A11" s="23"/>
      <c r="B11" s="23"/>
      <c r="C11" s="23"/>
      <c r="D11" s="23"/>
      <c r="E11" s="23"/>
      <c r="F11" s="23"/>
    </row>
    <row r="12" spans="1:6" x14ac:dyDescent="0.25">
      <c r="A12" s="23"/>
      <c r="B12" s="23"/>
      <c r="C12" s="23"/>
      <c r="D12" s="23"/>
      <c r="E12" s="23"/>
      <c r="F12" s="23"/>
    </row>
    <row r="13" spans="1:6" x14ac:dyDescent="0.25">
      <c r="A13" s="23"/>
      <c r="B13" s="23"/>
      <c r="C13" s="23"/>
      <c r="D13" s="23"/>
      <c r="E13" s="23"/>
      <c r="F13" s="23"/>
    </row>
    <row r="14" spans="1:6" x14ac:dyDescent="0.25">
      <c r="A14" s="23"/>
      <c r="B14" s="23"/>
      <c r="C14" s="23"/>
      <c r="D14" s="23"/>
      <c r="E14" s="23"/>
      <c r="F14" s="23"/>
    </row>
  </sheetData>
  <mergeCells count="5">
    <mergeCell ref="A1:F1"/>
    <mergeCell ref="B2:F2"/>
    <mergeCell ref="B3:F3"/>
    <mergeCell ref="B8:F8"/>
    <mergeCell ref="A10:F14"/>
  </mergeCells>
  <dataValidations count="1">
    <dataValidation type="list" allowBlank="1" showInputMessage="1" showErrorMessage="1" sqref="B4" xr:uid="{90F56D6D-B4DF-4313-BF04-92166066C5B2}">
      <formula1>"formula,precalculated"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DADE3-2F7B-4BCA-9234-1F0DEF8F691F}">
  <sheetPr codeName="Sheet4">
    <pageSetUpPr fitToPage="1"/>
  </sheetPr>
  <dimension ref="A1:H16"/>
  <sheetViews>
    <sheetView showGridLines="0" workbookViewId="0"/>
  </sheetViews>
  <sheetFormatPr defaultRowHeight="13.5" x14ac:dyDescent="0.25"/>
  <cols>
    <col min="1" max="1" width="4.7109375" style="1" customWidth="1"/>
    <col min="2" max="2" width="24.7109375" style="1" customWidth="1"/>
    <col min="3" max="8" width="16.7109375" style="1" customWidth="1"/>
    <col min="9" max="16384" width="9.140625" style="1"/>
  </cols>
  <sheetData>
    <row r="1" spans="1:8" x14ac:dyDescent="0.25">
      <c r="A1" s="31" t="s">
        <v>84</v>
      </c>
      <c r="B1" s="31"/>
      <c r="C1" s="31"/>
      <c r="D1" s="31"/>
      <c r="E1" s="31"/>
      <c r="F1" s="31"/>
      <c r="G1" s="31"/>
      <c r="H1" s="31"/>
    </row>
    <row r="2" spans="1:8" x14ac:dyDescent="0.25">
      <c r="A2" s="31"/>
      <c r="B2" s="31"/>
      <c r="C2" s="31"/>
      <c r="D2" s="31"/>
      <c r="E2" s="31"/>
      <c r="F2" s="31"/>
      <c r="G2" s="31"/>
      <c r="H2" s="31"/>
    </row>
    <row r="4" spans="1:8" ht="50.1" customHeight="1" x14ac:dyDescent="0.25">
      <c r="A4" s="32">
        <v>1</v>
      </c>
      <c r="B4" s="33" t="s">
        <v>85</v>
      </c>
      <c r="C4" s="34" t="s">
        <v>86</v>
      </c>
      <c r="D4" s="34"/>
      <c r="E4" s="34"/>
      <c r="F4" s="34"/>
      <c r="G4" s="34"/>
      <c r="H4" s="34"/>
    </row>
    <row r="5" spans="1:8" ht="50.1" customHeight="1" x14ac:dyDescent="0.25">
      <c r="A5" s="32">
        <v>2</v>
      </c>
      <c r="B5" s="33" t="s">
        <v>87</v>
      </c>
      <c r="C5" s="34" t="s">
        <v>88</v>
      </c>
      <c r="D5" s="34"/>
      <c r="E5" s="34"/>
      <c r="F5" s="34"/>
      <c r="G5" s="34"/>
      <c r="H5" s="34"/>
    </row>
    <row r="6" spans="1:8" ht="50.1" customHeight="1" x14ac:dyDescent="0.25">
      <c r="A6" s="32">
        <v>3</v>
      </c>
      <c r="B6" s="33" t="s">
        <v>89</v>
      </c>
      <c r="C6" s="34" t="s">
        <v>90</v>
      </c>
      <c r="D6" s="34"/>
      <c r="E6" s="34"/>
      <c r="F6" s="34"/>
      <c r="G6" s="34"/>
      <c r="H6" s="34"/>
    </row>
    <row r="7" spans="1:8" ht="50.1" customHeight="1" x14ac:dyDescent="0.25">
      <c r="A7" s="32">
        <v>4</v>
      </c>
      <c r="B7" s="33" t="s">
        <v>91</v>
      </c>
      <c r="C7" s="34" t="s">
        <v>92</v>
      </c>
      <c r="D7" s="34"/>
      <c r="E7" s="34"/>
      <c r="F7" s="34"/>
      <c r="G7" s="34"/>
      <c r="H7" s="34"/>
    </row>
    <row r="8" spans="1:8" ht="50.1" customHeight="1" x14ac:dyDescent="0.25">
      <c r="A8" s="32">
        <v>5</v>
      </c>
      <c r="B8" s="33" t="s">
        <v>93</v>
      </c>
      <c r="C8" s="34" t="s">
        <v>94</v>
      </c>
      <c r="D8" s="34"/>
      <c r="E8" s="34"/>
      <c r="F8" s="34"/>
      <c r="G8" s="34"/>
      <c r="H8" s="34"/>
    </row>
    <row r="9" spans="1:8" ht="50.1" customHeight="1" x14ac:dyDescent="0.25">
      <c r="A9" s="32">
        <v>6</v>
      </c>
      <c r="B9" s="33" t="s">
        <v>95</v>
      </c>
      <c r="C9" s="34" t="s">
        <v>96</v>
      </c>
      <c r="D9" s="34"/>
      <c r="E9" s="34"/>
      <c r="F9" s="34"/>
      <c r="G9" s="34"/>
      <c r="H9" s="34"/>
    </row>
    <row r="10" spans="1:8" ht="50.1" customHeight="1" x14ac:dyDescent="0.25">
      <c r="A10" s="32">
        <v>7</v>
      </c>
      <c r="B10" s="33" t="s">
        <v>97</v>
      </c>
      <c r="C10" s="34" t="s">
        <v>98</v>
      </c>
      <c r="D10" s="34"/>
      <c r="E10" s="34"/>
      <c r="F10" s="34"/>
      <c r="G10" s="34"/>
      <c r="H10" s="34"/>
    </row>
    <row r="11" spans="1:8" ht="50.1" customHeight="1" x14ac:dyDescent="0.25">
      <c r="A11" s="32">
        <v>8</v>
      </c>
      <c r="B11" s="33" t="s">
        <v>99</v>
      </c>
      <c r="C11" s="34" t="s">
        <v>100</v>
      </c>
      <c r="D11" s="34"/>
      <c r="E11" s="34"/>
      <c r="F11" s="34"/>
      <c r="G11" s="34"/>
      <c r="H11" s="34"/>
    </row>
    <row r="14" spans="1:8" x14ac:dyDescent="0.25">
      <c r="A14" s="36" t="s">
        <v>101</v>
      </c>
      <c r="B14" s="35"/>
      <c r="C14" s="35"/>
      <c r="D14" s="35"/>
      <c r="E14" s="35"/>
      <c r="F14" s="35"/>
      <c r="G14" s="35"/>
      <c r="H14" s="35"/>
    </row>
    <row r="15" spans="1:8" x14ac:dyDescent="0.25">
      <c r="A15" s="35"/>
      <c r="B15" s="35"/>
      <c r="C15" s="35"/>
      <c r="D15" s="35"/>
      <c r="E15" s="35"/>
      <c r="F15" s="35"/>
      <c r="G15" s="35"/>
      <c r="H15" s="35"/>
    </row>
    <row r="16" spans="1:8" x14ac:dyDescent="0.25">
      <c r="A16" s="35"/>
      <c r="B16" s="35"/>
      <c r="C16" s="35"/>
      <c r="D16" s="35"/>
      <c r="E16" s="35"/>
      <c r="F16" s="35"/>
      <c r="G16" s="35"/>
      <c r="H16" s="35"/>
    </row>
  </sheetData>
  <mergeCells count="10">
    <mergeCell ref="C9:H9"/>
    <mergeCell ref="C10:H10"/>
    <mergeCell ref="C11:H11"/>
    <mergeCell ref="A14:H16"/>
    <mergeCell ref="A1:H2"/>
    <mergeCell ref="C4:H4"/>
    <mergeCell ref="C5:H5"/>
    <mergeCell ref="C6:H6"/>
    <mergeCell ref="C7:H7"/>
    <mergeCell ref="C8:H8"/>
  </mergeCell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EF33A-338C-44AB-A726-3530FD44B0E1}">
  <sheetPr codeName="Sheet5">
    <pageSetUpPr fitToPage="1"/>
  </sheetPr>
  <dimension ref="A1:A4"/>
  <sheetViews>
    <sheetView showGridLines="0" workbookViewId="0"/>
  </sheetViews>
  <sheetFormatPr defaultRowHeight="13.5" x14ac:dyDescent="0.25"/>
  <cols>
    <col min="1" max="1" width="120.7109375" style="1" customWidth="1"/>
    <col min="2" max="16384" width="9.140625" style="1"/>
  </cols>
  <sheetData>
    <row r="1" spans="1:1" ht="15.75" x14ac:dyDescent="0.25">
      <c r="A1" s="37" t="s">
        <v>102</v>
      </c>
    </row>
    <row r="2" spans="1:1" x14ac:dyDescent="0.25">
      <c r="A2" s="1" t="s">
        <v>103</v>
      </c>
    </row>
    <row r="3" spans="1:1" x14ac:dyDescent="0.25">
      <c r="A3" s="1" t="s">
        <v>104</v>
      </c>
    </row>
    <row r="4" spans="1:1" x14ac:dyDescent="0.25">
      <c r="A4" s="7" t="s">
        <v>105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Dashboard</vt:lpstr>
      <vt:lpstr>Products</vt:lpstr>
      <vt:lpstr>Settings</vt:lpstr>
      <vt:lpstr>Instructions</vt:lpstr>
      <vt:lpstr>Digitalogic Raw</vt:lpstr>
      <vt:lpstr>Dashboard!Print_Area</vt:lpstr>
      <vt:lpstr>'Digitalogic Raw'!Print_Area</vt:lpstr>
      <vt:lpstr>Instructions!Print_Area</vt:lpstr>
      <vt:lpstr>Products!Print_Area</vt:lpstr>
      <vt:lpstr>Settings!Print_Area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